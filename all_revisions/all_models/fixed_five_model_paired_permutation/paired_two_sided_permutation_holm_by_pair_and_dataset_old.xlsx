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iadat/Documents/bbbx/bbb-exc-score/all_revisions/all_models/fixed_five_model_paired_permutation/"/>
    </mc:Choice>
  </mc:AlternateContent>
  <xr:revisionPtr revIDLastSave="0" documentId="8_{181C77A3-FF4B-0F47-96F3-5154208057B3}" xr6:coauthVersionLast="47" xr6:coauthVersionMax="47" xr10:uidLastSave="{00000000-0000-0000-0000-000000000000}"/>
  <bookViews>
    <workbookView xWindow="1100" yWindow="900" windowWidth="28040" windowHeight="17180" xr2:uid="{D7227D28-7CFE-9840-9AA0-63F855BC236F}"/>
  </bookViews>
  <sheets>
    <sheet name="paired_two_sided_permutation_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O29" i="1"/>
  <c r="O30" i="1"/>
  <c r="O31" i="1"/>
  <c r="O32" i="1"/>
  <c r="O27" i="1"/>
  <c r="O26" i="1"/>
  <c r="O25" i="1"/>
  <c r="O24" i="1"/>
  <c r="O23" i="1"/>
  <c r="O22" i="1"/>
  <c r="O21" i="1"/>
  <c r="O20" i="1"/>
  <c r="O18" i="1"/>
  <c r="O17" i="1"/>
  <c r="O16" i="1"/>
  <c r="O15" i="1"/>
  <c r="O14" i="1"/>
  <c r="O13" i="1"/>
  <c r="O12" i="1"/>
  <c r="O11" i="1"/>
  <c r="O3" i="1"/>
  <c r="O4" i="1"/>
  <c r="O5" i="1"/>
  <c r="O6" i="1"/>
  <c r="O7" i="1"/>
  <c r="O8" i="1"/>
  <c r="O9" i="1"/>
  <c r="O2" i="1"/>
</calcChain>
</file>

<file path=xl/sharedStrings.xml><?xml version="1.0" encoding="utf-8"?>
<sst xmlns="http://schemas.openxmlformats.org/spreadsheetml/2006/main" count="2471" uniqueCount="67">
  <si>
    <t>model_a</t>
  </si>
  <si>
    <t>model_a_display_name</t>
  </si>
  <si>
    <t>model_b</t>
  </si>
  <si>
    <t>model_b_display_name</t>
  </si>
  <si>
    <t>subset</t>
  </si>
  <si>
    <t>subset_label</t>
  </si>
  <si>
    <t>metric</t>
  </si>
  <si>
    <t>n_paired</t>
  </si>
  <si>
    <t>model_a_value</t>
  </si>
  <si>
    <t>model_b_value</t>
  </si>
  <si>
    <t>difference_a_minus_b</t>
  </si>
  <si>
    <t>ci_lower</t>
  </si>
  <si>
    <t>ci_upper</t>
  </si>
  <si>
    <t>n_bootstrap_valid</t>
  </si>
  <si>
    <t>better_direction</t>
  </si>
  <si>
    <t>effect_in_favor_of_a</t>
  </si>
  <si>
    <t>observed_better_model</t>
  </si>
  <si>
    <t>permutation_p_two_sided</t>
  </si>
  <si>
    <t>permutation_p_two_sided_holm_pair_dataset</t>
  </si>
  <si>
    <t>significant_permutation_holm_0.05</t>
  </si>
  <si>
    <t>holm_family_size</t>
  </si>
  <si>
    <t>n_extreme_permutations</t>
  </si>
  <si>
    <t>n_valid_permutations</t>
  </si>
  <si>
    <t>n_permutations_requested</t>
  </si>
  <si>
    <t>custom_mtl_original</t>
  </si>
  <si>
    <t>Custom MTL LightGBM clean</t>
  </si>
  <si>
    <t>logbb_pred_shaker_retrained</t>
  </si>
  <si>
    <t>Matched-retrained logBB_pred strategy (Shaker et al.)</t>
  </si>
  <si>
    <t>all_threshold</t>
  </si>
  <si>
    <t>All labelled compounds: threshold-derived</t>
  </si>
  <si>
    <t>balanced_accuracy</t>
  </si>
  <si>
    <t>higher</t>
  </si>
  <si>
    <t>mcc</t>
  </si>
  <si>
    <t>np_f1</t>
  </si>
  <si>
    <t>np_precision</t>
  </si>
  <si>
    <t>np_recall</t>
  </si>
  <si>
    <t>np_wrong_side_count</t>
  </si>
  <si>
    <t>lower</t>
  </si>
  <si>
    <t>pr_auc_nonpenetrant</t>
  </si>
  <si>
    <t>roc_auc</t>
  </si>
  <si>
    <t>classification_only_threshold</t>
  </si>
  <si>
    <t>Classification-only compounds: threshold-derived</t>
  </si>
  <si>
    <t>measured_regression</t>
  </si>
  <si>
    <t>Measured compounds: regression</t>
  </si>
  <si>
    <t>mae</t>
  </si>
  <si>
    <t>mse</t>
  </si>
  <si>
    <t>np_mae</t>
  </si>
  <si>
    <t>pearson_r</t>
  </si>
  <si>
    <t>r2</t>
  </si>
  <si>
    <t>measured_threshold</t>
  </si>
  <si>
    <t>Measured compounds: threshold-derived</t>
  </si>
  <si>
    <t>dummy_mean_regression</t>
  </si>
  <si>
    <t>Dummy regression mean</t>
  </si>
  <si>
    <t>tie</t>
  </si>
  <si>
    <t>dummy_prior_classification</t>
  </si>
  <si>
    <t>Dummy classification baseline</t>
  </si>
  <si>
    <t>lightgbm_mse_regression</t>
  </si>
  <si>
    <t>LightGBM MSE</t>
  </si>
  <si>
    <t>Text</t>
  </si>
  <si>
    <t>0.613 (0.01,0.035) [p=0.003]</t>
  </si>
  <si>
    <t>0.347 (0.008,0.074) [p=0.042]</t>
  </si>
  <si>
    <t>0.386 (0.03,0.093) [p=0.002]</t>
  </si>
  <si>
    <t>0.786 (-0.045,0.048) [p=0.958]</t>
  </si>
  <si>
    <t>0.256 (0.026,0.076) [p=0.002]</t>
  </si>
  <si>
    <t>715 (-73,-25) [p=0.002]</t>
  </si>
  <si>
    <t>0.631 (0.011,0.046) [p=0.006]</t>
  </si>
  <si>
    <t>0.769 (0.005,0.021) [p=0.006]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</si>
</sst>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1BF9-E69A-1C48-BCA2-27A9A9B4A31B}">
  <dimension ref="A1:AM274"/>
  <sheetViews>
    <sheetView tabSelected="1" topLeftCell="D1" zoomScale="134" workbookViewId="0">
      <selection activeCell="K9" sqref="K9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58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3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3156</v>
      </c>
      <c r="I2">
        <v>0.61272971634046702</v>
      </c>
      <c r="J2">
        <v>0.59019671517188499</v>
      </c>
      <c r="K2">
        <v>2.2533001168581399E-2</v>
      </c>
      <c r="L2">
        <v>9.8828628659248293E-3</v>
      </c>
      <c r="M2">
        <v>3.5284818708896597E-2</v>
      </c>
      <c r="O2" t="str">
        <f>_xlfn.TEXTJOIN("",TRUE,ROUND(I2,3)," (",ROUND(L2,3),",",ROUND(M2,3), ")", " ", "[p=",ROUND(V2,3), "]")</f>
        <v>0.613 (0.01,0.035) [p=0.003]</v>
      </c>
      <c r="Q2">
        <v>10000</v>
      </c>
      <c r="R2" t="s">
        <v>31</v>
      </c>
      <c r="S2">
        <v>2.2533001168581399E-2</v>
      </c>
      <c r="T2" t="s">
        <v>24</v>
      </c>
      <c r="U2">
        <v>6.9993000699929999E-4</v>
      </c>
      <c r="V2">
        <v>3.4996500349965E-3</v>
      </c>
      <c r="W2" t="b">
        <v>1</v>
      </c>
      <c r="X2">
        <v>8</v>
      </c>
      <c r="Y2">
        <v>6</v>
      </c>
      <c r="Z2">
        <v>10000</v>
      </c>
      <c r="AA2">
        <v>10000</v>
      </c>
    </row>
    <row r="3" spans="1:34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32</v>
      </c>
      <c r="H3">
        <v>3156</v>
      </c>
      <c r="I3">
        <v>0.34712569906073598</v>
      </c>
      <c r="J3">
        <v>0.30682429441057202</v>
      </c>
      <c r="K3">
        <v>4.0301404650163797E-2</v>
      </c>
      <c r="L3">
        <v>7.6804727315902804E-3</v>
      </c>
      <c r="M3">
        <v>7.3542527854442596E-2</v>
      </c>
      <c r="O3" t="str">
        <f t="shared" ref="O3:O9" si="0">_xlfn.TEXTJOIN("",TRUE,ROUND(I3,3)," (",ROUND(L3,3),",",ROUND(M3,3), ")", " ", "[p=",ROUND(V3,3), "]")</f>
        <v>0.347 (0.008,0.074) [p=0.042]</v>
      </c>
      <c r="Q3">
        <v>10000</v>
      </c>
      <c r="R3" t="s">
        <v>31</v>
      </c>
      <c r="S3">
        <v>4.0301404650163797E-2</v>
      </c>
      <c r="T3" t="s">
        <v>24</v>
      </c>
      <c r="U3">
        <v>2.0997900209978999E-2</v>
      </c>
      <c r="V3">
        <v>4.1995800419957999E-2</v>
      </c>
      <c r="W3" t="b">
        <v>1</v>
      </c>
      <c r="X3">
        <v>8</v>
      </c>
      <c r="Y3">
        <v>209</v>
      </c>
      <c r="Z3">
        <v>10000</v>
      </c>
      <c r="AA3">
        <v>10000</v>
      </c>
      <c r="AE3" t="s">
        <v>59</v>
      </c>
    </row>
    <row r="4" spans="1:34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33</v>
      </c>
      <c r="H4">
        <v>3156</v>
      </c>
      <c r="I4">
        <v>0.3861852433281</v>
      </c>
      <c r="J4">
        <v>0.32508250825082502</v>
      </c>
      <c r="K4">
        <v>6.1102735077275303E-2</v>
      </c>
      <c r="L4">
        <v>2.9692752659320799E-2</v>
      </c>
      <c r="M4">
        <v>9.2811556905508005E-2</v>
      </c>
      <c r="O4" t="str">
        <f t="shared" si="0"/>
        <v>0.386 (0.03,0.093) [p=0.002]</v>
      </c>
      <c r="Q4">
        <v>10000</v>
      </c>
      <c r="R4" t="s">
        <v>31</v>
      </c>
      <c r="S4">
        <v>6.1102735077275303E-2</v>
      </c>
      <c r="T4" t="s">
        <v>24</v>
      </c>
      <c r="U4">
        <v>1.999800019998E-4</v>
      </c>
      <c r="V4">
        <v>1.5998400159984E-3</v>
      </c>
      <c r="W4" t="b">
        <v>1</v>
      </c>
      <c r="X4">
        <v>8</v>
      </c>
      <c r="Y4">
        <v>1</v>
      </c>
      <c r="Z4">
        <v>10000</v>
      </c>
      <c r="AA4">
        <v>10000</v>
      </c>
      <c r="AE4" t="s">
        <v>60</v>
      </c>
    </row>
    <row r="5" spans="1:3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34</v>
      </c>
      <c r="H5">
        <v>3156</v>
      </c>
      <c r="I5">
        <v>0.78594249201277899</v>
      </c>
      <c r="J5">
        <v>0.78486055776892405</v>
      </c>
      <c r="K5">
        <v>1.0819342438552701E-3</v>
      </c>
      <c r="L5">
        <v>-4.5130540430545797E-2</v>
      </c>
      <c r="M5">
        <v>4.8126928508281701E-2</v>
      </c>
      <c r="O5" t="str">
        <f t="shared" si="0"/>
        <v>0.786 (-0.045,0.048) [p=0.958]</v>
      </c>
      <c r="Q5">
        <v>10000</v>
      </c>
      <c r="R5" t="s">
        <v>31</v>
      </c>
      <c r="S5">
        <v>1.0819342438552701E-3</v>
      </c>
      <c r="T5" t="s">
        <v>24</v>
      </c>
      <c r="U5">
        <v>0.95760423957604202</v>
      </c>
      <c r="V5">
        <v>0.95760423957604202</v>
      </c>
      <c r="W5" t="b">
        <v>0</v>
      </c>
      <c r="X5">
        <v>8</v>
      </c>
      <c r="Y5">
        <v>9576</v>
      </c>
      <c r="Z5">
        <v>10000</v>
      </c>
      <c r="AA5">
        <v>10000</v>
      </c>
      <c r="AE5" t="s">
        <v>61</v>
      </c>
    </row>
    <row r="6" spans="1:34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35</v>
      </c>
      <c r="H6">
        <v>3156</v>
      </c>
      <c r="I6">
        <v>0.25598335067637801</v>
      </c>
      <c r="J6">
        <v>0.204994797086368</v>
      </c>
      <c r="K6">
        <v>5.0988553590010401E-2</v>
      </c>
      <c r="L6">
        <v>2.6014566421508699E-2</v>
      </c>
      <c r="M6">
        <v>7.59625434875488E-2</v>
      </c>
      <c r="O6" t="str">
        <f t="shared" si="0"/>
        <v>0.256 (0.026,0.076) [p=0.002]</v>
      </c>
      <c r="Q6">
        <v>10000</v>
      </c>
      <c r="R6" t="s">
        <v>31</v>
      </c>
      <c r="S6">
        <v>5.0988553590010401E-2</v>
      </c>
      <c r="T6" t="s">
        <v>24</v>
      </c>
      <c r="U6">
        <v>1.999800019998E-4</v>
      </c>
      <c r="V6">
        <v>1.5998400159984E-3</v>
      </c>
      <c r="W6" t="b">
        <v>1</v>
      </c>
      <c r="X6">
        <v>8</v>
      </c>
      <c r="Y6">
        <v>1</v>
      </c>
      <c r="Z6">
        <v>10000</v>
      </c>
      <c r="AA6">
        <v>10000</v>
      </c>
      <c r="AE6" t="s">
        <v>62</v>
      </c>
    </row>
    <row r="7" spans="1:34" x14ac:dyDescent="0.2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36</v>
      </c>
      <c r="H7">
        <v>3156</v>
      </c>
      <c r="I7">
        <v>715</v>
      </c>
      <c r="J7">
        <v>764</v>
      </c>
      <c r="K7">
        <v>-49</v>
      </c>
      <c r="L7">
        <v>-73</v>
      </c>
      <c r="M7">
        <v>-25</v>
      </c>
      <c r="O7" t="str">
        <f t="shared" si="0"/>
        <v>715 (-73,-25) [p=0.002]</v>
      </c>
      <c r="Q7">
        <v>10000</v>
      </c>
      <c r="R7" t="s">
        <v>37</v>
      </c>
      <c r="S7">
        <v>49</v>
      </c>
      <c r="T7" t="s">
        <v>24</v>
      </c>
      <c r="U7">
        <v>1.999800019998E-4</v>
      </c>
      <c r="V7">
        <v>1.5998400159984E-3</v>
      </c>
      <c r="W7" t="b">
        <v>1</v>
      </c>
      <c r="X7">
        <v>8</v>
      </c>
      <c r="Y7">
        <v>1</v>
      </c>
      <c r="Z7">
        <v>10000</v>
      </c>
      <c r="AA7">
        <v>10000</v>
      </c>
      <c r="AE7" t="s">
        <v>63</v>
      </c>
    </row>
    <row r="8" spans="1:34" x14ac:dyDescent="0.2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38</v>
      </c>
      <c r="H8">
        <v>3156</v>
      </c>
      <c r="I8">
        <v>0.63059930879460202</v>
      </c>
      <c r="J8">
        <v>0.60170806035767499</v>
      </c>
      <c r="K8">
        <v>2.8891248436927301E-2</v>
      </c>
      <c r="L8">
        <v>1.14854574203491E-2</v>
      </c>
      <c r="M8">
        <v>4.6312125027179699E-2</v>
      </c>
      <c r="O8" t="str">
        <f t="shared" si="0"/>
        <v>0.631 (0.011,0.046) [p=0.006]</v>
      </c>
      <c r="Q8">
        <v>10000</v>
      </c>
      <c r="R8" t="s">
        <v>31</v>
      </c>
      <c r="S8">
        <v>2.8891248436927301E-2</v>
      </c>
      <c r="T8" t="s">
        <v>24</v>
      </c>
      <c r="U8">
        <v>1.4998500149984999E-3</v>
      </c>
      <c r="V8">
        <v>5.9994000599939996E-3</v>
      </c>
      <c r="W8" t="b">
        <v>1</v>
      </c>
      <c r="X8">
        <v>8</v>
      </c>
      <c r="Y8">
        <v>14</v>
      </c>
      <c r="Z8">
        <v>10000</v>
      </c>
      <c r="AA8">
        <v>10000</v>
      </c>
      <c r="AE8" t="s">
        <v>64</v>
      </c>
    </row>
    <row r="9" spans="1:34" x14ac:dyDescent="0.2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39</v>
      </c>
      <c r="H9">
        <v>3156</v>
      </c>
      <c r="I9">
        <v>0.768577720151986</v>
      </c>
      <c r="J9">
        <v>0.75558394705590903</v>
      </c>
      <c r="K9">
        <v>1.29937730960772E-2</v>
      </c>
      <c r="L9">
        <v>5.2038192749023398E-3</v>
      </c>
      <c r="M9">
        <v>2.11207866668701E-2</v>
      </c>
      <c r="O9" t="str">
        <f t="shared" si="0"/>
        <v>0.769 (0.005,0.021) [p=0.006]</v>
      </c>
      <c r="Q9">
        <v>10000</v>
      </c>
      <c r="R9" t="s">
        <v>31</v>
      </c>
      <c r="S9">
        <v>1.29937730960772E-2</v>
      </c>
      <c r="T9" t="s">
        <v>24</v>
      </c>
      <c r="U9">
        <v>1.5998400159984E-3</v>
      </c>
      <c r="V9">
        <v>5.9994000599939996E-3</v>
      </c>
      <c r="W9" t="b">
        <v>1</v>
      </c>
      <c r="X9">
        <v>8</v>
      </c>
      <c r="Y9">
        <v>15</v>
      </c>
      <c r="Z9">
        <v>10000</v>
      </c>
      <c r="AA9">
        <v>10000</v>
      </c>
      <c r="AE9" t="s">
        <v>65</v>
      </c>
    </row>
    <row r="10" spans="1:34" x14ac:dyDescent="0.2">
      <c r="AE10" t="s">
        <v>66</v>
      </c>
    </row>
    <row r="11" spans="1:34" x14ac:dyDescent="0.2">
      <c r="A11" t="s">
        <v>24</v>
      </c>
      <c r="B11" t="s">
        <v>25</v>
      </c>
      <c r="C11" t="s">
        <v>26</v>
      </c>
      <c r="D11" t="s">
        <v>27</v>
      </c>
      <c r="E11" t="s">
        <v>40</v>
      </c>
      <c r="F11" t="s">
        <v>41</v>
      </c>
      <c r="G11" t="s">
        <v>30</v>
      </c>
      <c r="H11">
        <v>2391</v>
      </c>
      <c r="I11">
        <v>0.60511231217822703</v>
      </c>
      <c r="J11">
        <v>0.58374049106314496</v>
      </c>
      <c r="K11">
        <v>2.13718211150817E-2</v>
      </c>
      <c r="L11">
        <v>8.0391824245452902E-3</v>
      </c>
      <c r="M11">
        <v>3.5207749903202003E-2</v>
      </c>
      <c r="O11" t="str">
        <f>_xlfn.TEXTJOIN("",TRUE,ROUND(I11,3)," (",ROUND(L11,3),",",ROUND(M11,3), ")", " ", "[p=",ROUND(V11,3), "]")</f>
        <v>0.605 (0.008,0.035) [p=0.012]</v>
      </c>
      <c r="Q11">
        <v>10000</v>
      </c>
      <c r="R11" t="s">
        <v>31</v>
      </c>
      <c r="S11">
        <v>2.13718211150817E-2</v>
      </c>
      <c r="T11" t="s">
        <v>24</v>
      </c>
      <c r="U11">
        <v>2.4997500249975E-3</v>
      </c>
      <c r="V11">
        <v>1.2498750124987501E-2</v>
      </c>
      <c r="W11" t="b">
        <v>1</v>
      </c>
      <c r="X11">
        <v>8</v>
      </c>
      <c r="Y11">
        <v>24</v>
      </c>
      <c r="Z11">
        <v>10000</v>
      </c>
      <c r="AA11">
        <v>10000</v>
      </c>
      <c r="AE11" t="s">
        <v>30</v>
      </c>
      <c r="AF11">
        <v>2391</v>
      </c>
      <c r="AG11">
        <v>0.60511231217822703</v>
      </c>
      <c r="AH11" s="2">
        <v>0.58374049106314496</v>
      </c>
    </row>
    <row r="12" spans="1:34" x14ac:dyDescent="0.2">
      <c r="A12" t="s">
        <v>24</v>
      </c>
      <c r="B12" t="s">
        <v>25</v>
      </c>
      <c r="C12" t="s">
        <v>26</v>
      </c>
      <c r="D12" t="s">
        <v>27</v>
      </c>
      <c r="E12" t="s">
        <v>40</v>
      </c>
      <c r="F12" t="s">
        <v>41</v>
      </c>
      <c r="G12" t="s">
        <v>32</v>
      </c>
      <c r="H12">
        <v>2391</v>
      </c>
      <c r="I12">
        <v>0.31884687251506699</v>
      </c>
      <c r="J12">
        <v>0.28434430293253798</v>
      </c>
      <c r="K12">
        <v>3.4502569582529001E-2</v>
      </c>
      <c r="L12">
        <v>-1.2657769024372E-3</v>
      </c>
      <c r="M12">
        <v>7.0776527374982801E-2</v>
      </c>
      <c r="O12" t="str">
        <f t="shared" ref="O12:O18" si="1">_xlfn.TEXTJOIN("",TRUE,ROUND(I12,3)," (",ROUND(L12,3),",",ROUND(M12,3), ")", " ", "[p=",ROUND(V12,3), "]")</f>
        <v>0.319 (-0.001,0.071) [p=0.134]</v>
      </c>
      <c r="Q12">
        <v>10000</v>
      </c>
      <c r="R12" t="s">
        <v>31</v>
      </c>
      <c r="S12">
        <v>3.4502569582529001E-2</v>
      </c>
      <c r="T12" t="s">
        <v>24</v>
      </c>
      <c r="U12">
        <v>6.7093290670932906E-2</v>
      </c>
      <c r="V12">
        <v>0.13418658134186501</v>
      </c>
      <c r="W12" t="b">
        <v>0</v>
      </c>
      <c r="X12">
        <v>8</v>
      </c>
      <c r="Y12">
        <v>670</v>
      </c>
      <c r="Z12">
        <v>10000</v>
      </c>
      <c r="AA12">
        <v>10000</v>
      </c>
      <c r="AE12" t="s">
        <v>35</v>
      </c>
      <c r="AF12">
        <v>2391</v>
      </c>
      <c r="AG12">
        <v>0.24713958810068601</v>
      </c>
      <c r="AH12" s="2">
        <v>0.19450800915331801</v>
      </c>
    </row>
    <row r="13" spans="1:34" x14ac:dyDescent="0.2">
      <c r="A13" t="s">
        <v>24</v>
      </c>
      <c r="B13" t="s">
        <v>25</v>
      </c>
      <c r="C13" t="s">
        <v>26</v>
      </c>
      <c r="D13" t="s">
        <v>27</v>
      </c>
      <c r="E13" t="s">
        <v>40</v>
      </c>
      <c r="F13" t="s">
        <v>41</v>
      </c>
      <c r="G13" t="s">
        <v>33</v>
      </c>
      <c r="H13">
        <v>2391</v>
      </c>
      <c r="I13">
        <v>0.37696335078533999</v>
      </c>
      <c r="J13">
        <v>0.31336405529953898</v>
      </c>
      <c r="K13">
        <v>6.3599295485801094E-2</v>
      </c>
      <c r="L13">
        <v>3.11234883964061E-2</v>
      </c>
      <c r="M13">
        <v>9.7319629788398698E-2</v>
      </c>
      <c r="O13" t="str">
        <f t="shared" si="1"/>
        <v>0.377 (0.031,0.097) [p=0.004]</v>
      </c>
      <c r="Q13">
        <v>10000</v>
      </c>
      <c r="R13" t="s">
        <v>31</v>
      </c>
      <c r="S13">
        <v>6.3599295485801094E-2</v>
      </c>
      <c r="T13" t="s">
        <v>24</v>
      </c>
      <c r="U13">
        <v>5.9994000599939996E-4</v>
      </c>
      <c r="V13">
        <v>3.5996400359964002E-3</v>
      </c>
      <c r="W13" t="b">
        <v>1</v>
      </c>
      <c r="X13">
        <v>8</v>
      </c>
      <c r="Y13">
        <v>5</v>
      </c>
      <c r="Z13">
        <v>10000</v>
      </c>
      <c r="AA13">
        <v>10000</v>
      </c>
      <c r="AE13" t="s">
        <v>34</v>
      </c>
      <c r="AF13">
        <v>2391</v>
      </c>
      <c r="AG13">
        <v>0.79411764705882304</v>
      </c>
      <c r="AH13" s="2">
        <v>0.80568720379146896</v>
      </c>
    </row>
    <row r="14" spans="1:34" x14ac:dyDescent="0.2">
      <c r="A14" t="s">
        <v>24</v>
      </c>
      <c r="B14" t="s">
        <v>25</v>
      </c>
      <c r="C14" t="s">
        <v>26</v>
      </c>
      <c r="D14" t="s">
        <v>27</v>
      </c>
      <c r="E14" t="s">
        <v>40</v>
      </c>
      <c r="F14" t="s">
        <v>41</v>
      </c>
      <c r="G14" t="s">
        <v>34</v>
      </c>
      <c r="H14">
        <v>2391</v>
      </c>
      <c r="I14">
        <v>0.79411764705882304</v>
      </c>
      <c r="J14">
        <v>0.80568720379146896</v>
      </c>
      <c r="K14">
        <v>-1.1569556732645699E-2</v>
      </c>
      <c r="L14">
        <v>-6.1125336587428997E-2</v>
      </c>
      <c r="M14">
        <v>3.6912980675697302E-2</v>
      </c>
      <c r="O14" t="str">
        <f t="shared" si="1"/>
        <v>0.794 (-0.061,0.037) [p=0.661]</v>
      </c>
      <c r="Q14">
        <v>10000</v>
      </c>
      <c r="R14" t="s">
        <v>31</v>
      </c>
      <c r="S14">
        <v>-1.1569556732645699E-2</v>
      </c>
      <c r="T14" t="s">
        <v>26</v>
      </c>
      <c r="U14">
        <v>0.66143385661433796</v>
      </c>
      <c r="V14">
        <v>0.66143385661433796</v>
      </c>
      <c r="W14" t="b">
        <v>0</v>
      </c>
      <c r="X14">
        <v>8</v>
      </c>
      <c r="Y14">
        <v>6614</v>
      </c>
      <c r="Z14">
        <v>10000</v>
      </c>
      <c r="AA14">
        <v>10000</v>
      </c>
      <c r="AE14" t="s">
        <v>33</v>
      </c>
      <c r="AF14">
        <v>2391</v>
      </c>
      <c r="AG14">
        <v>0.37696335078533999</v>
      </c>
      <c r="AH14" s="2">
        <v>0.31336405529953898</v>
      </c>
    </row>
    <row r="15" spans="1:34" x14ac:dyDescent="0.2">
      <c r="A15" t="s">
        <v>24</v>
      </c>
      <c r="B15" t="s">
        <v>25</v>
      </c>
      <c r="C15" t="s">
        <v>26</v>
      </c>
      <c r="D15" t="s">
        <v>27</v>
      </c>
      <c r="E15" t="s">
        <v>40</v>
      </c>
      <c r="F15" t="s">
        <v>41</v>
      </c>
      <c r="G15" t="s">
        <v>35</v>
      </c>
      <c r="H15">
        <v>2391</v>
      </c>
      <c r="I15">
        <v>0.24713958810068601</v>
      </c>
      <c r="J15">
        <v>0.19450800915331801</v>
      </c>
      <c r="K15">
        <v>5.2631578947368397E-2</v>
      </c>
      <c r="L15">
        <v>2.74599492549896E-2</v>
      </c>
      <c r="M15">
        <v>7.8947365283965995E-2</v>
      </c>
      <c r="O15" t="str">
        <f t="shared" si="1"/>
        <v>0.247 (0.027,0.079) [p=0.003]</v>
      </c>
      <c r="Q15">
        <v>10000</v>
      </c>
      <c r="R15" t="s">
        <v>31</v>
      </c>
      <c r="S15">
        <v>5.2631578947368397E-2</v>
      </c>
      <c r="T15" t="s">
        <v>24</v>
      </c>
      <c r="U15">
        <v>3.9996000399960001E-4</v>
      </c>
      <c r="V15">
        <v>3.1996800319968001E-3</v>
      </c>
      <c r="W15" t="b">
        <v>1</v>
      </c>
      <c r="X15">
        <v>8</v>
      </c>
      <c r="Y15">
        <v>3</v>
      </c>
      <c r="Z15">
        <v>10000</v>
      </c>
      <c r="AA15">
        <v>10000</v>
      </c>
      <c r="AE15" t="s">
        <v>39</v>
      </c>
      <c r="AF15">
        <v>2391</v>
      </c>
      <c r="AG15">
        <v>0.74294306026738899</v>
      </c>
      <c r="AH15" s="2">
        <v>0.73206029604980305</v>
      </c>
    </row>
    <row r="16" spans="1:34" x14ac:dyDescent="0.2">
      <c r="A16" t="s">
        <v>24</v>
      </c>
      <c r="B16" t="s">
        <v>25</v>
      </c>
      <c r="C16" t="s">
        <v>26</v>
      </c>
      <c r="D16" t="s">
        <v>27</v>
      </c>
      <c r="E16" t="s">
        <v>40</v>
      </c>
      <c r="F16" t="s">
        <v>41</v>
      </c>
      <c r="G16" t="s">
        <v>36</v>
      </c>
      <c r="H16">
        <v>2391</v>
      </c>
      <c r="I16">
        <v>658</v>
      </c>
      <c r="J16">
        <v>704</v>
      </c>
      <c r="K16">
        <v>-46</v>
      </c>
      <c r="L16">
        <v>-69</v>
      </c>
      <c r="M16">
        <v>-24</v>
      </c>
      <c r="O16" t="str">
        <f t="shared" si="1"/>
        <v>658 (-69,-24) [p=0.003]</v>
      </c>
      <c r="Q16">
        <v>10000</v>
      </c>
      <c r="R16" t="s">
        <v>37</v>
      </c>
      <c r="S16">
        <v>46</v>
      </c>
      <c r="T16" t="s">
        <v>24</v>
      </c>
      <c r="U16">
        <v>3.9996000399960001E-4</v>
      </c>
      <c r="V16">
        <v>3.1996800319968001E-3</v>
      </c>
      <c r="W16" t="b">
        <v>1</v>
      </c>
      <c r="X16">
        <v>8</v>
      </c>
      <c r="Y16">
        <v>3</v>
      </c>
      <c r="Z16">
        <v>10000</v>
      </c>
      <c r="AA16">
        <v>10000</v>
      </c>
      <c r="AE16" t="s">
        <v>38</v>
      </c>
      <c r="AF16">
        <v>2391</v>
      </c>
      <c r="AG16">
        <v>0.65112240052524994</v>
      </c>
      <c r="AH16" s="2">
        <v>0.62964162854208805</v>
      </c>
    </row>
    <row r="17" spans="1:39" x14ac:dyDescent="0.2">
      <c r="A17" t="s">
        <v>24</v>
      </c>
      <c r="B17" t="s">
        <v>25</v>
      </c>
      <c r="C17" t="s">
        <v>26</v>
      </c>
      <c r="D17" t="s">
        <v>27</v>
      </c>
      <c r="E17" t="s">
        <v>40</v>
      </c>
      <c r="F17" t="s">
        <v>41</v>
      </c>
      <c r="G17" t="s">
        <v>38</v>
      </c>
      <c r="H17">
        <v>2391</v>
      </c>
      <c r="I17">
        <v>0.65112240052524994</v>
      </c>
      <c r="J17">
        <v>0.62964162854208805</v>
      </c>
      <c r="K17">
        <v>2.1480771983161302E-2</v>
      </c>
      <c r="L17">
        <v>3.6068037152290301E-3</v>
      </c>
      <c r="M17">
        <v>3.8607168197631797E-2</v>
      </c>
      <c r="O17" t="str">
        <f t="shared" si="1"/>
        <v>0.651 (0.004,0.039) [p=0.086]</v>
      </c>
      <c r="Q17">
        <v>10000</v>
      </c>
      <c r="R17" t="s">
        <v>31</v>
      </c>
      <c r="S17">
        <v>2.1480771983161302E-2</v>
      </c>
      <c r="T17" t="s">
        <v>24</v>
      </c>
      <c r="U17">
        <v>2.1497850214978499E-2</v>
      </c>
      <c r="V17">
        <v>8.5991400859913997E-2</v>
      </c>
      <c r="W17" t="b">
        <v>0</v>
      </c>
      <c r="X17">
        <v>8</v>
      </c>
      <c r="Y17">
        <v>214</v>
      </c>
      <c r="Z17">
        <v>10000</v>
      </c>
      <c r="AA17">
        <v>10000</v>
      </c>
      <c r="AE17" t="s">
        <v>32</v>
      </c>
      <c r="AF17">
        <v>2391</v>
      </c>
      <c r="AG17">
        <v>0.31884687251506699</v>
      </c>
      <c r="AH17" s="2">
        <v>0.28434430293253798</v>
      </c>
    </row>
    <row r="18" spans="1:39" x14ac:dyDescent="0.2">
      <c r="A18" t="s">
        <v>24</v>
      </c>
      <c r="B18" t="s">
        <v>25</v>
      </c>
      <c r="C18" t="s">
        <v>26</v>
      </c>
      <c r="D18" t="s">
        <v>27</v>
      </c>
      <c r="E18" t="s">
        <v>40</v>
      </c>
      <c r="F18" t="s">
        <v>41</v>
      </c>
      <c r="G18" t="s">
        <v>39</v>
      </c>
      <c r="H18">
        <v>2391</v>
      </c>
      <c r="I18">
        <v>0.74294306026738899</v>
      </c>
      <c r="J18">
        <v>0.73206029604980305</v>
      </c>
      <c r="K18">
        <v>1.08827642175858E-2</v>
      </c>
      <c r="L18">
        <v>1.8221005797386101E-3</v>
      </c>
      <c r="M18">
        <v>1.9699825346469801E-2</v>
      </c>
      <c r="O18" t="str">
        <f t="shared" si="1"/>
        <v>0.743 (0.002,0.02) [p=0.086]</v>
      </c>
      <c r="Q18">
        <v>10000</v>
      </c>
      <c r="R18" t="s">
        <v>31</v>
      </c>
      <c r="S18">
        <v>1.08827642175858E-2</v>
      </c>
      <c r="T18" t="s">
        <v>24</v>
      </c>
      <c r="U18">
        <v>2.32976702329767E-2</v>
      </c>
      <c r="V18">
        <v>8.5991400859913997E-2</v>
      </c>
      <c r="W18" t="b">
        <v>0</v>
      </c>
      <c r="X18">
        <v>8</v>
      </c>
      <c r="Y18">
        <v>232</v>
      </c>
      <c r="Z18">
        <v>10000</v>
      </c>
      <c r="AA18">
        <v>10000</v>
      </c>
      <c r="AE18" t="s">
        <v>36</v>
      </c>
      <c r="AF18">
        <v>2391</v>
      </c>
      <c r="AG18">
        <v>658</v>
      </c>
      <c r="AH18">
        <v>704</v>
      </c>
    </row>
    <row r="20" spans="1:39" x14ac:dyDescent="0.2">
      <c r="A20" t="s">
        <v>24</v>
      </c>
      <c r="B20" t="s">
        <v>25</v>
      </c>
      <c r="C20" t="s">
        <v>26</v>
      </c>
      <c r="D20" t="s">
        <v>27</v>
      </c>
      <c r="E20" t="s">
        <v>42</v>
      </c>
      <c r="F20" t="s">
        <v>43</v>
      </c>
      <c r="G20" t="s">
        <v>44</v>
      </c>
      <c r="H20">
        <v>765</v>
      </c>
      <c r="I20">
        <v>0.36315938610431098</v>
      </c>
      <c r="J20">
        <v>0.36501545636959998</v>
      </c>
      <c r="K20">
        <v>-1.8560702652887201E-3</v>
      </c>
      <c r="L20">
        <v>-1.45004950463771E-2</v>
      </c>
      <c r="M20">
        <v>1.07260629534721E-2</v>
      </c>
      <c r="O20" t="str">
        <f>_xlfn.TEXTJOIN("",TRUE,ROUND(I20,3)," (",ROUND(L20,3),",",ROUND(M20,3), ")", " ", "[p=",ROUND(V20,3), "]")</f>
        <v>0.363 (-0.015,0.011) [p=0.777]</v>
      </c>
      <c r="Q20">
        <v>10000</v>
      </c>
      <c r="R20" t="s">
        <v>37</v>
      </c>
      <c r="S20">
        <v>1.8560702652887201E-3</v>
      </c>
      <c r="T20" t="s">
        <v>24</v>
      </c>
      <c r="U20">
        <v>0.77682231776822297</v>
      </c>
      <c r="V20">
        <v>0.77682231776822297</v>
      </c>
      <c r="W20" t="b">
        <v>0</v>
      </c>
      <c r="X20">
        <v>5</v>
      </c>
      <c r="Y20">
        <v>7768</v>
      </c>
      <c r="Z20">
        <v>10000</v>
      </c>
      <c r="AA20">
        <v>10000</v>
      </c>
      <c r="AF20" s="2">
        <v>0.58374049106314496</v>
      </c>
      <c r="AG20" s="2">
        <v>0.19450800915331801</v>
      </c>
      <c r="AH20" s="2">
        <v>0.80568720379146896</v>
      </c>
      <c r="AI20" s="2">
        <v>0.31336405529953898</v>
      </c>
      <c r="AJ20" s="2">
        <v>0.73206029604980305</v>
      </c>
      <c r="AK20" s="2">
        <v>0.62964162854208805</v>
      </c>
      <c r="AL20" s="2">
        <v>0.28434430293253798</v>
      </c>
      <c r="AM20">
        <v>704</v>
      </c>
    </row>
    <row r="21" spans="1:39" x14ac:dyDescent="0.2">
      <c r="A21" t="s">
        <v>24</v>
      </c>
      <c r="B21" t="s">
        <v>25</v>
      </c>
      <c r="C21" t="s">
        <v>26</v>
      </c>
      <c r="D21" t="s">
        <v>27</v>
      </c>
      <c r="E21" t="s">
        <v>42</v>
      </c>
      <c r="F21" t="s">
        <v>43</v>
      </c>
      <c r="G21" t="s">
        <v>45</v>
      </c>
      <c r="H21">
        <v>765</v>
      </c>
      <c r="I21">
        <v>0.23537445416809899</v>
      </c>
      <c r="J21">
        <v>0.249048902243939</v>
      </c>
      <c r="K21">
        <v>-1.3674448075839601E-2</v>
      </c>
      <c r="L21">
        <v>-2.9664709046482999E-2</v>
      </c>
      <c r="M21">
        <v>2.3226667195558499E-3</v>
      </c>
      <c r="O21" t="str">
        <f t="shared" ref="O21:O32" si="2">_xlfn.TEXTJOIN("",TRUE,ROUND(I21,3)," (",ROUND(L21,3),",",ROUND(M21,3), ")", " ", "[p=",ROUND(V21,3), "]")</f>
        <v>0.235 (-0.03,0.002) [p=0.432]</v>
      </c>
      <c r="Q21">
        <v>10000</v>
      </c>
      <c r="R21" t="s">
        <v>37</v>
      </c>
      <c r="S21">
        <v>1.3674448075839601E-2</v>
      </c>
      <c r="T21" t="s">
        <v>24</v>
      </c>
      <c r="U21">
        <v>0.10978902109789</v>
      </c>
      <c r="V21">
        <v>0.43195680431956801</v>
      </c>
      <c r="W21" t="b">
        <v>0</v>
      </c>
      <c r="X21">
        <v>5</v>
      </c>
      <c r="Y21">
        <v>1097</v>
      </c>
      <c r="Z21">
        <v>10000</v>
      </c>
      <c r="AA21">
        <v>10000</v>
      </c>
    </row>
    <row r="22" spans="1:39" x14ac:dyDescent="0.2">
      <c r="A22" t="s">
        <v>24</v>
      </c>
      <c r="B22" t="s">
        <v>25</v>
      </c>
      <c r="C22" t="s">
        <v>26</v>
      </c>
      <c r="D22" t="s">
        <v>27</v>
      </c>
      <c r="E22" t="s">
        <v>42</v>
      </c>
      <c r="F22" t="s">
        <v>43</v>
      </c>
      <c r="G22" t="s">
        <v>46</v>
      </c>
      <c r="H22">
        <v>765</v>
      </c>
      <c r="I22">
        <v>0.63937814222101397</v>
      </c>
      <c r="J22">
        <v>0.68204019863646903</v>
      </c>
      <c r="K22">
        <v>-4.2662056415455001E-2</v>
      </c>
      <c r="L22">
        <v>-8.91691818833351E-2</v>
      </c>
      <c r="M22">
        <v>3.0376970767974801E-3</v>
      </c>
      <c r="O22" t="str">
        <f t="shared" si="2"/>
        <v>0.639 (-0.089,0.003) [p=0.432]</v>
      </c>
      <c r="Q22">
        <v>10000</v>
      </c>
      <c r="R22" t="s">
        <v>37</v>
      </c>
      <c r="S22">
        <v>4.2662056415455001E-2</v>
      </c>
      <c r="T22" t="s">
        <v>24</v>
      </c>
      <c r="U22">
        <v>8.6391360863913594E-2</v>
      </c>
      <c r="V22">
        <v>0.43195680431956801</v>
      </c>
      <c r="W22" t="b">
        <v>0</v>
      </c>
      <c r="X22">
        <v>5</v>
      </c>
      <c r="Y22">
        <v>863</v>
      </c>
      <c r="Z22">
        <v>10000</v>
      </c>
      <c r="AA22">
        <v>10000</v>
      </c>
    </row>
    <row r="23" spans="1:39" x14ac:dyDescent="0.2">
      <c r="A23" t="s">
        <v>24</v>
      </c>
      <c r="B23" t="s">
        <v>25</v>
      </c>
      <c r="C23" t="s">
        <v>26</v>
      </c>
      <c r="D23" t="s">
        <v>27</v>
      </c>
      <c r="E23" t="s">
        <v>42</v>
      </c>
      <c r="F23" t="s">
        <v>43</v>
      </c>
      <c r="G23" t="s">
        <v>47</v>
      </c>
      <c r="H23">
        <v>765</v>
      </c>
      <c r="I23">
        <v>0.75433490413812698</v>
      </c>
      <c r="J23">
        <v>0.73736182978942999</v>
      </c>
      <c r="K23">
        <v>1.69730743486971E-2</v>
      </c>
      <c r="L23">
        <v>-2.0829305052757199E-3</v>
      </c>
      <c r="M23">
        <v>3.6094877123832698E-2</v>
      </c>
      <c r="O23" t="str">
        <f t="shared" si="2"/>
        <v>0.754 (-0.002,0.036) [p=0.432]</v>
      </c>
      <c r="Q23">
        <v>10000</v>
      </c>
      <c r="R23" t="s">
        <v>31</v>
      </c>
      <c r="S23">
        <v>1.69730743486971E-2</v>
      </c>
      <c r="T23" t="s">
        <v>24</v>
      </c>
      <c r="U23">
        <v>0.10248975102489701</v>
      </c>
      <c r="V23">
        <v>0.43195680431956801</v>
      </c>
      <c r="W23" t="b">
        <v>0</v>
      </c>
      <c r="X23">
        <v>5</v>
      </c>
      <c r="Y23">
        <v>1024</v>
      </c>
      <c r="Z23">
        <v>10000</v>
      </c>
      <c r="AA23">
        <v>10000</v>
      </c>
    </row>
    <row r="24" spans="1:39" x14ac:dyDescent="0.2">
      <c r="A24" t="s">
        <v>24</v>
      </c>
      <c r="B24" t="s">
        <v>25</v>
      </c>
      <c r="C24" t="s">
        <v>26</v>
      </c>
      <c r="D24" t="s">
        <v>27</v>
      </c>
      <c r="E24" t="s">
        <v>42</v>
      </c>
      <c r="F24" t="s">
        <v>43</v>
      </c>
      <c r="G24" t="s">
        <v>48</v>
      </c>
      <c r="H24">
        <v>765</v>
      </c>
      <c r="I24">
        <v>0.56773779691354598</v>
      </c>
      <c r="J24">
        <v>0.54262484626584195</v>
      </c>
      <c r="K24">
        <v>2.5112950647704E-2</v>
      </c>
      <c r="L24">
        <v>-4.3070241808891201E-3</v>
      </c>
      <c r="M24">
        <v>5.4284219443798E-2</v>
      </c>
      <c r="O24" t="str">
        <f t="shared" si="2"/>
        <v>0.568 (-0.004,0.054) [p=0.432]</v>
      </c>
      <c r="Q24">
        <v>10000</v>
      </c>
      <c r="R24" t="s">
        <v>31</v>
      </c>
      <c r="S24">
        <v>2.5112950647704E-2</v>
      </c>
      <c r="T24" t="s">
        <v>24</v>
      </c>
      <c r="U24">
        <v>0.10978902109789</v>
      </c>
      <c r="V24">
        <v>0.43195680431956801</v>
      </c>
      <c r="W24" t="b">
        <v>0</v>
      </c>
      <c r="X24">
        <v>5</v>
      </c>
      <c r="Y24">
        <v>1097</v>
      </c>
      <c r="Z24">
        <v>10000</v>
      </c>
      <c r="AA24">
        <v>10000</v>
      </c>
    </row>
    <row r="25" spans="1:39" x14ac:dyDescent="0.2">
      <c r="A25" t="s">
        <v>24</v>
      </c>
      <c r="B25" t="s">
        <v>25</v>
      </c>
      <c r="C25" t="s">
        <v>26</v>
      </c>
      <c r="D25" t="s">
        <v>27</v>
      </c>
      <c r="E25" t="s">
        <v>49</v>
      </c>
      <c r="F25" t="s">
        <v>50</v>
      </c>
      <c r="G25" t="s">
        <v>30</v>
      </c>
      <c r="H25">
        <v>765</v>
      </c>
      <c r="I25">
        <v>0.66430169870816802</v>
      </c>
      <c r="J25">
        <v>0.64558539314413499</v>
      </c>
      <c r="K25">
        <v>1.8716305564032101E-2</v>
      </c>
      <c r="L25">
        <v>-2.65232324600219E-2</v>
      </c>
      <c r="M25">
        <v>6.3385623693465898E-2</v>
      </c>
      <c r="O25" t="str">
        <f t="shared" si="2"/>
        <v>0.664 (-0.027,0.063) [p=1]</v>
      </c>
      <c r="Q25">
        <v>10000</v>
      </c>
      <c r="R25" t="s">
        <v>31</v>
      </c>
      <c r="S25">
        <v>1.8716305564032101E-2</v>
      </c>
      <c r="T25" t="s">
        <v>24</v>
      </c>
      <c r="U25">
        <v>0.45205479452054698</v>
      </c>
      <c r="V25">
        <v>1</v>
      </c>
      <c r="W25" t="b">
        <v>0</v>
      </c>
      <c r="X25">
        <v>8</v>
      </c>
      <c r="Y25">
        <v>4520</v>
      </c>
      <c r="Z25">
        <v>10000</v>
      </c>
      <c r="AA25">
        <v>10000</v>
      </c>
    </row>
    <row r="26" spans="1:39" x14ac:dyDescent="0.2">
      <c r="A26" t="s">
        <v>24</v>
      </c>
      <c r="B26" t="s">
        <v>25</v>
      </c>
      <c r="C26" t="s">
        <v>26</v>
      </c>
      <c r="D26" t="s">
        <v>27</v>
      </c>
      <c r="E26" t="s">
        <v>49</v>
      </c>
      <c r="F26" t="s">
        <v>50</v>
      </c>
      <c r="G26" t="s">
        <v>32</v>
      </c>
      <c r="H26">
        <v>765</v>
      </c>
      <c r="I26">
        <v>0.46321787620895799</v>
      </c>
      <c r="J26">
        <v>0.41526303481798499</v>
      </c>
      <c r="K26">
        <v>4.7954841390972398E-2</v>
      </c>
      <c r="L26">
        <v>-5.1959522068500498E-2</v>
      </c>
      <c r="M26">
        <v>0.14786128252744599</v>
      </c>
      <c r="O26" t="str">
        <f t="shared" si="2"/>
        <v>0.463 (-0.052,0.148) [p=1]</v>
      </c>
      <c r="Q26">
        <v>10000</v>
      </c>
      <c r="R26" t="s">
        <v>31</v>
      </c>
      <c r="S26">
        <v>4.7954841390972398E-2</v>
      </c>
      <c r="T26" t="s">
        <v>24</v>
      </c>
      <c r="U26">
        <v>0.40035996400359902</v>
      </c>
      <c r="V26">
        <v>1</v>
      </c>
      <c r="W26" t="b">
        <v>0</v>
      </c>
      <c r="X26">
        <v>8</v>
      </c>
      <c r="Y26">
        <v>4003</v>
      </c>
      <c r="Z26">
        <v>10000</v>
      </c>
      <c r="AA26">
        <v>10000</v>
      </c>
    </row>
    <row r="27" spans="1:39" x14ac:dyDescent="0.2">
      <c r="A27" t="s">
        <v>24</v>
      </c>
      <c r="B27" t="s">
        <v>25</v>
      </c>
      <c r="C27" t="s">
        <v>26</v>
      </c>
      <c r="D27" t="s">
        <v>27</v>
      </c>
      <c r="E27" t="s">
        <v>49</v>
      </c>
      <c r="F27" t="s">
        <v>50</v>
      </c>
      <c r="G27" t="s">
        <v>33</v>
      </c>
      <c r="H27">
        <v>765</v>
      </c>
      <c r="I27">
        <v>0.46875</v>
      </c>
      <c r="J27">
        <v>0.42519685039369998</v>
      </c>
      <c r="K27">
        <v>4.3553149606299101E-2</v>
      </c>
      <c r="L27">
        <v>-5.4202432185411403E-2</v>
      </c>
      <c r="M27">
        <v>0.14199831560254</v>
      </c>
      <c r="O27" t="str">
        <f t="shared" si="2"/>
        <v>0.469 (-0.054,0.142) [p=1]</v>
      </c>
      <c r="Q27">
        <v>10000</v>
      </c>
      <c r="R27" t="s">
        <v>31</v>
      </c>
      <c r="S27">
        <v>4.3553149606299101E-2</v>
      </c>
      <c r="T27" t="s">
        <v>24</v>
      </c>
      <c r="U27">
        <v>0.43885611438856098</v>
      </c>
      <c r="V27">
        <v>1</v>
      </c>
      <c r="W27" t="b">
        <v>0</v>
      </c>
      <c r="X27">
        <v>8</v>
      </c>
      <c r="Y27">
        <v>4388</v>
      </c>
      <c r="Z27">
        <v>10000</v>
      </c>
      <c r="AA27">
        <v>10000</v>
      </c>
    </row>
    <row r="28" spans="1:39" x14ac:dyDescent="0.2">
      <c r="A28" t="s">
        <v>24</v>
      </c>
      <c r="B28" t="s">
        <v>25</v>
      </c>
      <c r="C28" t="s">
        <v>26</v>
      </c>
      <c r="D28" t="s">
        <v>27</v>
      </c>
      <c r="E28" t="s">
        <v>49</v>
      </c>
      <c r="F28" t="s">
        <v>50</v>
      </c>
      <c r="G28" t="s">
        <v>34</v>
      </c>
      <c r="H28">
        <v>765</v>
      </c>
      <c r="I28">
        <v>0.73170731707317005</v>
      </c>
      <c r="J28">
        <v>0.67500000000000004</v>
      </c>
      <c r="K28">
        <v>5.6707317073170602E-2</v>
      </c>
      <c r="L28">
        <v>-7.4243237078189805E-2</v>
      </c>
      <c r="M28">
        <v>0.189191609621047</v>
      </c>
      <c r="O28" t="str">
        <f>_xlfn.TEXTJOIN("",TRUE,ROUND(I28,3)," (",ROUND(L28,3),",",ROUND(M28,3), ")", " ", "[p=",ROUND(V28,3), "]")</f>
        <v>0.732 (-0.074,0.189) [p=1]</v>
      </c>
      <c r="Q28">
        <v>10000</v>
      </c>
      <c r="R28" t="s">
        <v>31</v>
      </c>
      <c r="S28">
        <v>5.6707317073170602E-2</v>
      </c>
      <c r="T28" t="s">
        <v>24</v>
      </c>
      <c r="U28">
        <v>0.44015598440155901</v>
      </c>
      <c r="V28">
        <v>1</v>
      </c>
      <c r="W28" t="b">
        <v>0</v>
      </c>
      <c r="X28">
        <v>8</v>
      </c>
      <c r="Y28">
        <v>4401</v>
      </c>
      <c r="Z28">
        <v>10000</v>
      </c>
      <c r="AA28">
        <v>10000</v>
      </c>
    </row>
    <row r="29" spans="1:39" x14ac:dyDescent="0.2">
      <c r="A29" t="s">
        <v>24</v>
      </c>
      <c r="B29" t="s">
        <v>25</v>
      </c>
      <c r="C29" t="s">
        <v>26</v>
      </c>
      <c r="D29" t="s">
        <v>27</v>
      </c>
      <c r="E29" t="s">
        <v>49</v>
      </c>
      <c r="F29" t="s">
        <v>50</v>
      </c>
      <c r="G29" t="s">
        <v>35</v>
      </c>
      <c r="H29">
        <v>765</v>
      </c>
      <c r="I29">
        <v>0.34482758620689602</v>
      </c>
      <c r="J29">
        <v>0.31034482758620602</v>
      </c>
      <c r="K29">
        <v>3.4482758620689599E-2</v>
      </c>
      <c r="L29">
        <v>-5.7471275329589802E-2</v>
      </c>
      <c r="M29">
        <v>0.12643676996231001</v>
      </c>
      <c r="O29" t="str">
        <f t="shared" si="2"/>
        <v>0.345 (-0.057,0.126) [p=1]</v>
      </c>
      <c r="Q29">
        <v>10000</v>
      </c>
      <c r="R29" t="s">
        <v>31</v>
      </c>
      <c r="S29">
        <v>3.4482758620689599E-2</v>
      </c>
      <c r="T29" t="s">
        <v>24</v>
      </c>
      <c r="U29">
        <v>0.62963703629637002</v>
      </c>
      <c r="V29">
        <v>1</v>
      </c>
      <c r="W29" t="b">
        <v>0</v>
      </c>
      <c r="X29">
        <v>8</v>
      </c>
      <c r="Y29">
        <v>6296</v>
      </c>
      <c r="Z29">
        <v>10000</v>
      </c>
      <c r="AA29">
        <v>10000</v>
      </c>
    </row>
    <row r="30" spans="1:39" x14ac:dyDescent="0.2">
      <c r="A30" t="s">
        <v>24</v>
      </c>
      <c r="B30" t="s">
        <v>25</v>
      </c>
      <c r="C30" t="s">
        <v>26</v>
      </c>
      <c r="D30" t="s">
        <v>27</v>
      </c>
      <c r="E30" t="s">
        <v>49</v>
      </c>
      <c r="F30" t="s">
        <v>50</v>
      </c>
      <c r="G30" t="s">
        <v>36</v>
      </c>
      <c r="H30">
        <v>765</v>
      </c>
      <c r="I30">
        <v>57</v>
      </c>
      <c r="J30">
        <v>60</v>
      </c>
      <c r="K30">
        <v>-3</v>
      </c>
      <c r="L30">
        <v>-11</v>
      </c>
      <c r="M30">
        <v>5</v>
      </c>
      <c r="O30" t="str">
        <f t="shared" si="2"/>
        <v>57 (-11,5) [p=1]</v>
      </c>
      <c r="Q30">
        <v>10000</v>
      </c>
      <c r="R30" t="s">
        <v>37</v>
      </c>
      <c r="S30">
        <v>3</v>
      </c>
      <c r="T30" t="s">
        <v>24</v>
      </c>
      <c r="U30">
        <v>0.62963703629637002</v>
      </c>
      <c r="V30">
        <v>1</v>
      </c>
      <c r="W30" t="b">
        <v>0</v>
      </c>
      <c r="X30">
        <v>8</v>
      </c>
      <c r="Y30">
        <v>6296</v>
      </c>
      <c r="Z30">
        <v>10000</v>
      </c>
      <c r="AA30">
        <v>10000</v>
      </c>
    </row>
    <row r="31" spans="1:39" x14ac:dyDescent="0.2">
      <c r="A31" t="s">
        <v>24</v>
      </c>
      <c r="B31" t="s">
        <v>25</v>
      </c>
      <c r="C31" t="s">
        <v>26</v>
      </c>
      <c r="D31" t="s">
        <v>27</v>
      </c>
      <c r="E31" t="s">
        <v>49</v>
      </c>
      <c r="F31" t="s">
        <v>50</v>
      </c>
      <c r="G31" t="s">
        <v>38</v>
      </c>
      <c r="H31">
        <v>765</v>
      </c>
      <c r="I31">
        <v>0.60769699832702695</v>
      </c>
      <c r="J31">
        <v>0.54690161873402099</v>
      </c>
      <c r="K31">
        <v>6.0795379593005697E-2</v>
      </c>
      <c r="L31">
        <v>-4.2702406644821098E-3</v>
      </c>
      <c r="M31">
        <v>0.12122500762343399</v>
      </c>
      <c r="O31" t="str">
        <f t="shared" si="2"/>
        <v>0.608 (-0.004,0.121) [p=0.679]</v>
      </c>
      <c r="Q31">
        <v>10000</v>
      </c>
      <c r="R31" t="s">
        <v>31</v>
      </c>
      <c r="S31">
        <v>6.0795379593005697E-2</v>
      </c>
      <c r="T31" t="s">
        <v>24</v>
      </c>
      <c r="U31">
        <v>8.4891510848915094E-2</v>
      </c>
      <c r="V31">
        <v>0.67913208679131998</v>
      </c>
      <c r="W31" t="b">
        <v>0</v>
      </c>
      <c r="X31">
        <v>8</v>
      </c>
      <c r="Y31">
        <v>848</v>
      </c>
      <c r="Z31">
        <v>10000</v>
      </c>
      <c r="AA31">
        <v>10000</v>
      </c>
    </row>
    <row r="32" spans="1:39" x14ac:dyDescent="0.2">
      <c r="A32" t="s">
        <v>24</v>
      </c>
      <c r="B32" t="s">
        <v>25</v>
      </c>
      <c r="C32" t="s">
        <v>26</v>
      </c>
      <c r="D32" t="s">
        <v>27</v>
      </c>
      <c r="E32" t="s">
        <v>49</v>
      </c>
      <c r="F32" t="s">
        <v>50</v>
      </c>
      <c r="G32" t="s">
        <v>39</v>
      </c>
      <c r="H32">
        <v>765</v>
      </c>
      <c r="I32">
        <v>0.90114603465229004</v>
      </c>
      <c r="J32">
        <v>0.89039772149323504</v>
      </c>
      <c r="K32">
        <v>1.07483131590546E-2</v>
      </c>
      <c r="L32">
        <v>-7.4767529964446904E-3</v>
      </c>
      <c r="M32">
        <v>2.8922505676746299E-2</v>
      </c>
      <c r="O32" t="str">
        <f t="shared" si="2"/>
        <v>0.901 (-0.007,0.029) [p=1]</v>
      </c>
      <c r="Q32">
        <v>10000</v>
      </c>
      <c r="R32" t="s">
        <v>31</v>
      </c>
      <c r="S32">
        <v>1.07483131590546E-2</v>
      </c>
      <c r="T32" t="s">
        <v>24</v>
      </c>
      <c r="U32">
        <v>0.28437156284371501</v>
      </c>
      <c r="V32">
        <v>1</v>
      </c>
      <c r="W32" t="b">
        <v>0</v>
      </c>
      <c r="X32">
        <v>8</v>
      </c>
      <c r="Y32">
        <v>2843</v>
      </c>
      <c r="Z32">
        <v>10000</v>
      </c>
      <c r="AA32">
        <v>10000</v>
      </c>
    </row>
    <row r="34" spans="1:27" x14ac:dyDescent="0.2">
      <c r="A34" t="s">
        <v>51</v>
      </c>
      <c r="B34" t="s">
        <v>52</v>
      </c>
      <c r="C34" t="s">
        <v>24</v>
      </c>
      <c r="D34" t="s">
        <v>25</v>
      </c>
      <c r="E34" t="s">
        <v>28</v>
      </c>
      <c r="F34" t="s">
        <v>29</v>
      </c>
      <c r="G34" t="s">
        <v>30</v>
      </c>
      <c r="H34">
        <v>3156</v>
      </c>
      <c r="I34">
        <v>0.5</v>
      </c>
      <c r="J34">
        <v>0.61272971634046702</v>
      </c>
      <c r="K34">
        <v>-0.112729716340467</v>
      </c>
      <c r="L34">
        <v>-0.12739784419536501</v>
      </c>
      <c r="M34">
        <v>-9.8780214786529499E-2</v>
      </c>
      <c r="Q34">
        <v>10000</v>
      </c>
      <c r="R34" t="s">
        <v>31</v>
      </c>
      <c r="S34">
        <v>-0.112729716340467</v>
      </c>
      <c r="T34" t="s">
        <v>24</v>
      </c>
      <c r="U34" s="1">
        <v>9.9990000999900002E-5</v>
      </c>
      <c r="V34">
        <v>7.9992000799920002E-4</v>
      </c>
      <c r="W34" t="b">
        <v>1</v>
      </c>
      <c r="X34">
        <v>8</v>
      </c>
      <c r="Y34">
        <v>0</v>
      </c>
      <c r="Z34">
        <v>10000</v>
      </c>
      <c r="AA34">
        <v>10000</v>
      </c>
    </row>
    <row r="35" spans="1:27" x14ac:dyDescent="0.2">
      <c r="A35" t="s">
        <v>51</v>
      </c>
      <c r="B35" t="s">
        <v>52</v>
      </c>
      <c r="C35" t="s">
        <v>24</v>
      </c>
      <c r="D35" t="s">
        <v>25</v>
      </c>
      <c r="E35" t="s">
        <v>28</v>
      </c>
      <c r="F35" t="s">
        <v>29</v>
      </c>
      <c r="G35" t="s">
        <v>32</v>
      </c>
      <c r="H35">
        <v>3156</v>
      </c>
      <c r="J35">
        <v>0.34712569906073598</v>
      </c>
      <c r="Q35">
        <v>0</v>
      </c>
      <c r="R35" t="s">
        <v>31</v>
      </c>
      <c r="T35" t="s">
        <v>53</v>
      </c>
      <c r="U35" s="1">
        <v>9.9990000999900002E-5</v>
      </c>
      <c r="V35">
        <v>7.9992000799920002E-4</v>
      </c>
      <c r="W35" t="b">
        <v>1</v>
      </c>
      <c r="X35">
        <v>8</v>
      </c>
      <c r="Y35">
        <v>0</v>
      </c>
      <c r="Z35">
        <v>10000</v>
      </c>
      <c r="AA35">
        <v>10000</v>
      </c>
    </row>
    <row r="36" spans="1:27" x14ac:dyDescent="0.2">
      <c r="A36" t="s">
        <v>51</v>
      </c>
      <c r="B36" t="s">
        <v>52</v>
      </c>
      <c r="C36" t="s">
        <v>24</v>
      </c>
      <c r="D36" t="s">
        <v>25</v>
      </c>
      <c r="E36" t="s">
        <v>28</v>
      </c>
      <c r="F36" t="s">
        <v>29</v>
      </c>
      <c r="G36" t="s">
        <v>33</v>
      </c>
      <c r="H36">
        <v>3156</v>
      </c>
      <c r="J36">
        <v>0.3861852433281</v>
      </c>
      <c r="Q36">
        <v>0</v>
      </c>
      <c r="R36" t="s">
        <v>31</v>
      </c>
      <c r="T36" t="s">
        <v>53</v>
      </c>
      <c r="U36" s="1">
        <v>9.9990000999900002E-5</v>
      </c>
      <c r="V36">
        <v>7.9992000799920002E-4</v>
      </c>
      <c r="W36" t="b">
        <v>1</v>
      </c>
      <c r="X36">
        <v>8</v>
      </c>
      <c r="Y36">
        <v>0</v>
      </c>
      <c r="Z36">
        <v>10000</v>
      </c>
      <c r="AA36">
        <v>10000</v>
      </c>
    </row>
    <row r="37" spans="1:27" x14ac:dyDescent="0.2">
      <c r="A37" t="s">
        <v>51</v>
      </c>
      <c r="B37" t="s">
        <v>52</v>
      </c>
      <c r="C37" t="s">
        <v>24</v>
      </c>
      <c r="D37" t="s">
        <v>25</v>
      </c>
      <c r="E37" t="s">
        <v>28</v>
      </c>
      <c r="F37" t="s">
        <v>29</v>
      </c>
      <c r="G37" t="s">
        <v>34</v>
      </c>
      <c r="H37">
        <v>3156</v>
      </c>
      <c r="J37">
        <v>0.78594249201277899</v>
      </c>
      <c r="Q37">
        <v>0</v>
      </c>
      <c r="R37" t="s">
        <v>31</v>
      </c>
      <c r="T37" t="s">
        <v>53</v>
      </c>
      <c r="U37" s="1">
        <v>9.9990000999900002E-5</v>
      </c>
      <c r="V37">
        <v>7.9992000799920002E-4</v>
      </c>
      <c r="W37" t="b">
        <v>1</v>
      </c>
      <c r="X37">
        <v>8</v>
      </c>
      <c r="Y37">
        <v>0</v>
      </c>
      <c r="Z37">
        <v>10000</v>
      </c>
      <c r="AA37">
        <v>10000</v>
      </c>
    </row>
    <row r="38" spans="1:27" x14ac:dyDescent="0.2">
      <c r="A38" t="s">
        <v>51</v>
      </c>
      <c r="B38" t="s">
        <v>52</v>
      </c>
      <c r="C38" t="s">
        <v>24</v>
      </c>
      <c r="D38" t="s">
        <v>25</v>
      </c>
      <c r="E38" t="s">
        <v>28</v>
      </c>
      <c r="F38" t="s">
        <v>29</v>
      </c>
      <c r="G38" t="s">
        <v>35</v>
      </c>
      <c r="H38">
        <v>3156</v>
      </c>
      <c r="I38">
        <v>0</v>
      </c>
      <c r="J38">
        <v>0.25598335067637801</v>
      </c>
      <c r="K38">
        <v>-0.25598335067637801</v>
      </c>
      <c r="L38">
        <v>-0.28407907485961897</v>
      </c>
      <c r="M38">
        <v>-0.228928193449974</v>
      </c>
      <c r="Q38">
        <v>10000</v>
      </c>
      <c r="R38" t="s">
        <v>31</v>
      </c>
      <c r="S38">
        <v>-0.25598335067637801</v>
      </c>
      <c r="T38" t="s">
        <v>24</v>
      </c>
      <c r="U38" s="1">
        <v>9.9990000999900002E-5</v>
      </c>
      <c r="V38">
        <v>7.9992000799920002E-4</v>
      </c>
      <c r="W38" t="b">
        <v>1</v>
      </c>
      <c r="X38">
        <v>8</v>
      </c>
      <c r="Y38">
        <v>0</v>
      </c>
      <c r="Z38">
        <v>10000</v>
      </c>
      <c r="AA38">
        <v>10000</v>
      </c>
    </row>
    <row r="39" spans="1:27" x14ac:dyDescent="0.2">
      <c r="A39" t="s">
        <v>51</v>
      </c>
      <c r="B39" t="s">
        <v>52</v>
      </c>
      <c r="C39" t="s">
        <v>24</v>
      </c>
      <c r="D39" t="s">
        <v>25</v>
      </c>
      <c r="E39" t="s">
        <v>28</v>
      </c>
      <c r="F39" t="s">
        <v>29</v>
      </c>
      <c r="G39" t="s">
        <v>36</v>
      </c>
      <c r="H39">
        <v>3156</v>
      </c>
      <c r="I39">
        <v>961</v>
      </c>
      <c r="J39">
        <v>715</v>
      </c>
      <c r="K39">
        <v>246</v>
      </c>
      <c r="L39">
        <v>220</v>
      </c>
      <c r="M39">
        <v>273</v>
      </c>
      <c r="Q39">
        <v>10000</v>
      </c>
      <c r="R39" t="s">
        <v>37</v>
      </c>
      <c r="S39">
        <v>-246</v>
      </c>
      <c r="T39" t="s">
        <v>24</v>
      </c>
      <c r="U39" s="1">
        <v>9.9990000999900002E-5</v>
      </c>
      <c r="V39">
        <v>7.9992000799920002E-4</v>
      </c>
      <c r="W39" t="b">
        <v>1</v>
      </c>
      <c r="X39">
        <v>8</v>
      </c>
      <c r="Y39">
        <v>0</v>
      </c>
      <c r="Z39">
        <v>10000</v>
      </c>
      <c r="AA39">
        <v>10000</v>
      </c>
    </row>
    <row r="40" spans="1:27" x14ac:dyDescent="0.2">
      <c r="A40" t="s">
        <v>51</v>
      </c>
      <c r="B40" t="s">
        <v>52</v>
      </c>
      <c r="C40" t="s">
        <v>24</v>
      </c>
      <c r="D40" t="s">
        <v>25</v>
      </c>
      <c r="E40" t="s">
        <v>28</v>
      </c>
      <c r="F40" t="s">
        <v>29</v>
      </c>
      <c r="G40" t="s">
        <v>38</v>
      </c>
      <c r="H40">
        <v>3156</v>
      </c>
      <c r="I40">
        <v>0.30445178611650098</v>
      </c>
      <c r="J40">
        <v>0.63059930879460202</v>
      </c>
      <c r="K40">
        <v>-0.32614752267810099</v>
      </c>
      <c r="L40">
        <v>-0.35335228145122499</v>
      </c>
      <c r="M40">
        <v>-0.29903942048549598</v>
      </c>
      <c r="Q40">
        <v>10000</v>
      </c>
      <c r="R40" t="s">
        <v>31</v>
      </c>
      <c r="S40">
        <v>-0.32614752267810099</v>
      </c>
      <c r="T40" t="s">
        <v>24</v>
      </c>
      <c r="U40" s="1">
        <v>9.9990000999900002E-5</v>
      </c>
      <c r="V40">
        <v>7.9992000799920002E-4</v>
      </c>
      <c r="W40" t="b">
        <v>1</v>
      </c>
      <c r="X40">
        <v>8</v>
      </c>
      <c r="Y40">
        <v>0</v>
      </c>
      <c r="Z40">
        <v>10000</v>
      </c>
      <c r="AA40">
        <v>10000</v>
      </c>
    </row>
    <row r="41" spans="1:27" x14ac:dyDescent="0.2">
      <c r="A41" t="s">
        <v>51</v>
      </c>
      <c r="B41" t="s">
        <v>52</v>
      </c>
      <c r="C41" t="s">
        <v>24</v>
      </c>
      <c r="D41" t="s">
        <v>25</v>
      </c>
      <c r="E41" t="s">
        <v>28</v>
      </c>
      <c r="F41" t="s">
        <v>29</v>
      </c>
      <c r="G41" t="s">
        <v>39</v>
      </c>
      <c r="H41">
        <v>3156</v>
      </c>
      <c r="I41">
        <v>0.5</v>
      </c>
      <c r="J41">
        <v>0.768577720151986</v>
      </c>
      <c r="K41">
        <v>-0.268577720151986</v>
      </c>
      <c r="L41">
        <v>-0.28651587665081002</v>
      </c>
      <c r="M41">
        <v>-0.249970352649688</v>
      </c>
      <c r="Q41">
        <v>10000</v>
      </c>
      <c r="R41" t="s">
        <v>31</v>
      </c>
      <c r="S41">
        <v>-0.268577720151986</v>
      </c>
      <c r="T41" t="s">
        <v>24</v>
      </c>
      <c r="U41" s="1">
        <v>9.9990000999900002E-5</v>
      </c>
      <c r="V41">
        <v>7.9992000799920002E-4</v>
      </c>
      <c r="W41" t="b">
        <v>1</v>
      </c>
      <c r="X41">
        <v>8</v>
      </c>
      <c r="Y41">
        <v>0</v>
      </c>
      <c r="Z41">
        <v>10000</v>
      </c>
      <c r="AA41">
        <v>10000</v>
      </c>
    </row>
    <row r="42" spans="1:27" x14ac:dyDescent="0.2">
      <c r="A42" t="s">
        <v>51</v>
      </c>
      <c r="B42" t="s">
        <v>52</v>
      </c>
      <c r="C42" t="s">
        <v>24</v>
      </c>
      <c r="D42" t="s">
        <v>25</v>
      </c>
      <c r="E42" t="s">
        <v>40</v>
      </c>
      <c r="F42" t="s">
        <v>41</v>
      </c>
      <c r="G42" t="s">
        <v>30</v>
      </c>
      <c r="H42">
        <v>2391</v>
      </c>
      <c r="I42">
        <v>0.5</v>
      </c>
      <c r="J42">
        <v>0.60511231217822703</v>
      </c>
      <c r="K42">
        <v>-0.105112312178227</v>
      </c>
      <c r="L42">
        <v>-0.120664477348327</v>
      </c>
      <c r="M42">
        <v>-9.0461790561675998E-2</v>
      </c>
      <c r="Q42">
        <v>10000</v>
      </c>
      <c r="R42" t="s">
        <v>31</v>
      </c>
      <c r="S42">
        <v>-0.105112312178227</v>
      </c>
      <c r="T42" t="s">
        <v>24</v>
      </c>
      <c r="U42" s="1">
        <v>9.9990000999900002E-5</v>
      </c>
      <c r="V42">
        <v>7.9992000799920002E-4</v>
      </c>
      <c r="W42" t="b">
        <v>1</v>
      </c>
      <c r="X42">
        <v>8</v>
      </c>
      <c r="Y42">
        <v>0</v>
      </c>
      <c r="Z42">
        <v>10000</v>
      </c>
      <c r="AA42">
        <v>10000</v>
      </c>
    </row>
    <row r="43" spans="1:27" x14ac:dyDescent="0.2">
      <c r="A43" t="s">
        <v>51</v>
      </c>
      <c r="B43" t="s">
        <v>52</v>
      </c>
      <c r="C43" t="s">
        <v>24</v>
      </c>
      <c r="D43" t="s">
        <v>25</v>
      </c>
      <c r="E43" t="s">
        <v>40</v>
      </c>
      <c r="F43" t="s">
        <v>41</v>
      </c>
      <c r="G43" t="s">
        <v>32</v>
      </c>
      <c r="H43">
        <v>2391</v>
      </c>
      <c r="J43">
        <v>0.31884687251506699</v>
      </c>
      <c r="Q43">
        <v>0</v>
      </c>
      <c r="R43" t="s">
        <v>31</v>
      </c>
      <c r="T43" t="s">
        <v>53</v>
      </c>
      <c r="U43" s="1">
        <v>9.9990000999900002E-5</v>
      </c>
      <c r="V43">
        <v>7.9992000799920002E-4</v>
      </c>
      <c r="W43" t="b">
        <v>1</v>
      </c>
      <c r="X43">
        <v>8</v>
      </c>
      <c r="Y43">
        <v>0</v>
      </c>
      <c r="Z43">
        <v>10000</v>
      </c>
      <c r="AA43">
        <v>10000</v>
      </c>
    </row>
    <row r="44" spans="1:27" x14ac:dyDescent="0.2">
      <c r="A44" t="s">
        <v>51</v>
      </c>
      <c r="B44" t="s">
        <v>52</v>
      </c>
      <c r="C44" t="s">
        <v>24</v>
      </c>
      <c r="D44" t="s">
        <v>25</v>
      </c>
      <c r="E44" t="s">
        <v>40</v>
      </c>
      <c r="F44" t="s">
        <v>41</v>
      </c>
      <c r="G44" t="s">
        <v>33</v>
      </c>
      <c r="H44">
        <v>2391</v>
      </c>
      <c r="J44">
        <v>0.37696335078533999</v>
      </c>
      <c r="Q44">
        <v>0</v>
      </c>
      <c r="R44" t="s">
        <v>31</v>
      </c>
      <c r="T44" t="s">
        <v>53</v>
      </c>
      <c r="U44" s="1">
        <v>9.9990000999900002E-5</v>
      </c>
      <c r="V44">
        <v>7.9992000799920002E-4</v>
      </c>
      <c r="W44" t="b">
        <v>1</v>
      </c>
      <c r="X44">
        <v>8</v>
      </c>
      <c r="Y44">
        <v>0</v>
      </c>
      <c r="Z44">
        <v>10000</v>
      </c>
      <c r="AA44">
        <v>10000</v>
      </c>
    </row>
    <row r="45" spans="1:27" x14ac:dyDescent="0.2">
      <c r="A45" t="s">
        <v>51</v>
      </c>
      <c r="B45" t="s">
        <v>52</v>
      </c>
      <c r="C45" t="s">
        <v>24</v>
      </c>
      <c r="D45" t="s">
        <v>25</v>
      </c>
      <c r="E45" t="s">
        <v>40</v>
      </c>
      <c r="F45" t="s">
        <v>41</v>
      </c>
      <c r="G45" t="s">
        <v>34</v>
      </c>
      <c r="H45">
        <v>2391</v>
      </c>
      <c r="J45">
        <v>0.79411764705882304</v>
      </c>
      <c r="Q45">
        <v>0</v>
      </c>
      <c r="R45" t="s">
        <v>31</v>
      </c>
      <c r="T45" t="s">
        <v>53</v>
      </c>
      <c r="U45" s="1">
        <v>9.9990000999900002E-5</v>
      </c>
      <c r="V45">
        <v>7.9992000799920002E-4</v>
      </c>
      <c r="W45" t="b">
        <v>1</v>
      </c>
      <c r="X45">
        <v>8</v>
      </c>
      <c r="Y45">
        <v>0</v>
      </c>
      <c r="Z45">
        <v>10000</v>
      </c>
      <c r="AA45">
        <v>10000</v>
      </c>
    </row>
    <row r="46" spans="1:27" x14ac:dyDescent="0.2">
      <c r="A46" t="s">
        <v>51</v>
      </c>
      <c r="B46" t="s">
        <v>52</v>
      </c>
      <c r="C46" t="s">
        <v>24</v>
      </c>
      <c r="D46" t="s">
        <v>25</v>
      </c>
      <c r="E46" t="s">
        <v>40</v>
      </c>
      <c r="F46" t="s">
        <v>41</v>
      </c>
      <c r="G46" t="s">
        <v>35</v>
      </c>
      <c r="H46">
        <v>2391</v>
      </c>
      <c r="I46">
        <v>0</v>
      </c>
      <c r="J46">
        <v>0.24713958810068601</v>
      </c>
      <c r="K46">
        <v>-0.24713958810068601</v>
      </c>
      <c r="L46">
        <v>-0.27688786387443498</v>
      </c>
      <c r="M46">
        <v>-0.21967963874339999</v>
      </c>
      <c r="Q46">
        <v>10000</v>
      </c>
      <c r="R46" t="s">
        <v>31</v>
      </c>
      <c r="S46">
        <v>-0.24713958810068601</v>
      </c>
      <c r="T46" t="s">
        <v>24</v>
      </c>
      <c r="U46" s="1">
        <v>9.9990000999900002E-5</v>
      </c>
      <c r="V46">
        <v>7.9992000799920002E-4</v>
      </c>
      <c r="W46" t="b">
        <v>1</v>
      </c>
      <c r="X46">
        <v>8</v>
      </c>
      <c r="Y46">
        <v>0</v>
      </c>
      <c r="Z46">
        <v>10000</v>
      </c>
      <c r="AA46">
        <v>10000</v>
      </c>
    </row>
    <row r="47" spans="1:27" x14ac:dyDescent="0.2">
      <c r="A47" t="s">
        <v>51</v>
      </c>
      <c r="B47" t="s">
        <v>52</v>
      </c>
      <c r="C47" t="s">
        <v>24</v>
      </c>
      <c r="D47" t="s">
        <v>25</v>
      </c>
      <c r="E47" t="s">
        <v>40</v>
      </c>
      <c r="F47" t="s">
        <v>41</v>
      </c>
      <c r="G47" t="s">
        <v>36</v>
      </c>
      <c r="H47">
        <v>2391</v>
      </c>
      <c r="I47">
        <v>874</v>
      </c>
      <c r="J47">
        <v>658</v>
      </c>
      <c r="K47">
        <v>216</v>
      </c>
      <c r="L47">
        <v>192</v>
      </c>
      <c r="M47">
        <v>242</v>
      </c>
      <c r="Q47">
        <v>10000</v>
      </c>
      <c r="R47" t="s">
        <v>37</v>
      </c>
      <c r="S47">
        <v>-216</v>
      </c>
      <c r="T47" t="s">
        <v>24</v>
      </c>
      <c r="U47" s="1">
        <v>9.9990000999900002E-5</v>
      </c>
      <c r="V47">
        <v>7.9992000799920002E-4</v>
      </c>
      <c r="W47" t="b">
        <v>1</v>
      </c>
      <c r="X47">
        <v>8</v>
      </c>
      <c r="Y47">
        <v>0</v>
      </c>
      <c r="Z47">
        <v>10000</v>
      </c>
      <c r="AA47">
        <v>10000</v>
      </c>
    </row>
    <row r="48" spans="1:27" x14ac:dyDescent="0.2">
      <c r="A48" t="s">
        <v>51</v>
      </c>
      <c r="B48" t="s">
        <v>52</v>
      </c>
      <c r="C48" t="s">
        <v>24</v>
      </c>
      <c r="D48" t="s">
        <v>25</v>
      </c>
      <c r="E48" t="s">
        <v>40</v>
      </c>
      <c r="F48" t="s">
        <v>41</v>
      </c>
      <c r="G48" t="s">
        <v>38</v>
      </c>
      <c r="H48">
        <v>2391</v>
      </c>
      <c r="I48">
        <v>0.36580113090011601</v>
      </c>
      <c r="J48">
        <v>0.65112240052524994</v>
      </c>
      <c r="K48">
        <v>-0.28532126962513299</v>
      </c>
      <c r="L48">
        <v>-0.31381761580705603</v>
      </c>
      <c r="M48">
        <v>-0.25848133116960498</v>
      </c>
      <c r="Q48">
        <v>10000</v>
      </c>
      <c r="R48" t="s">
        <v>31</v>
      </c>
      <c r="S48">
        <v>-0.28532126962513299</v>
      </c>
      <c r="T48" t="s">
        <v>24</v>
      </c>
      <c r="U48" s="1">
        <v>9.9990000999900002E-5</v>
      </c>
      <c r="V48">
        <v>7.9992000799920002E-4</v>
      </c>
      <c r="W48" t="b">
        <v>1</v>
      </c>
      <c r="X48">
        <v>8</v>
      </c>
      <c r="Y48">
        <v>0</v>
      </c>
      <c r="Z48">
        <v>10000</v>
      </c>
      <c r="AA48">
        <v>10000</v>
      </c>
    </row>
    <row r="49" spans="1:27" x14ac:dyDescent="0.2">
      <c r="A49" t="s">
        <v>51</v>
      </c>
      <c r="B49" t="s">
        <v>52</v>
      </c>
      <c r="C49" t="s">
        <v>24</v>
      </c>
      <c r="D49" t="s">
        <v>25</v>
      </c>
      <c r="E49" t="s">
        <v>40</v>
      </c>
      <c r="F49" t="s">
        <v>41</v>
      </c>
      <c r="G49" t="s">
        <v>39</v>
      </c>
      <c r="H49">
        <v>2391</v>
      </c>
      <c r="I49">
        <v>0.50036089837674902</v>
      </c>
      <c r="J49">
        <v>0.74294306026738899</v>
      </c>
      <c r="K49">
        <v>-0.242582161890639</v>
      </c>
      <c r="L49">
        <v>-0.26292684972286201</v>
      </c>
      <c r="M49">
        <v>-0.22208646386861799</v>
      </c>
      <c r="Q49">
        <v>10000</v>
      </c>
      <c r="R49" t="s">
        <v>31</v>
      </c>
      <c r="S49">
        <v>-0.242582161890639</v>
      </c>
      <c r="T49" t="s">
        <v>24</v>
      </c>
      <c r="U49" s="1">
        <v>9.9990000999900002E-5</v>
      </c>
      <c r="V49">
        <v>7.9992000799920002E-4</v>
      </c>
      <c r="W49" t="b">
        <v>1</v>
      </c>
      <c r="X49">
        <v>8</v>
      </c>
      <c r="Y49">
        <v>0</v>
      </c>
      <c r="Z49">
        <v>10000</v>
      </c>
      <c r="AA49">
        <v>10000</v>
      </c>
    </row>
    <row r="50" spans="1:27" x14ac:dyDescent="0.2">
      <c r="A50" t="s">
        <v>51</v>
      </c>
      <c r="B50" t="s">
        <v>52</v>
      </c>
      <c r="C50" t="s">
        <v>24</v>
      </c>
      <c r="D50" t="s">
        <v>25</v>
      </c>
      <c r="E50" t="s">
        <v>42</v>
      </c>
      <c r="F50" t="s">
        <v>43</v>
      </c>
      <c r="G50" t="s">
        <v>44</v>
      </c>
      <c r="H50">
        <v>765</v>
      </c>
      <c r="I50">
        <v>0.57909069161433602</v>
      </c>
      <c r="J50">
        <v>0.36315938610431098</v>
      </c>
      <c r="K50">
        <v>0.21593130551002401</v>
      </c>
      <c r="L50">
        <v>0.18856212720274901</v>
      </c>
      <c r="M50">
        <v>0.24408538043498901</v>
      </c>
      <c r="Q50">
        <v>10000</v>
      </c>
      <c r="R50" t="s">
        <v>37</v>
      </c>
      <c r="S50">
        <v>-0.21593130551002401</v>
      </c>
      <c r="T50" t="s">
        <v>24</v>
      </c>
      <c r="U50" s="1">
        <v>9.9990000999900002E-5</v>
      </c>
      <c r="V50">
        <v>4.9995000499950004E-4</v>
      </c>
      <c r="W50" t="b">
        <v>1</v>
      </c>
      <c r="X50">
        <v>5</v>
      </c>
      <c r="Y50">
        <v>0</v>
      </c>
      <c r="Z50">
        <v>10000</v>
      </c>
      <c r="AA50">
        <v>10000</v>
      </c>
    </row>
    <row r="51" spans="1:27" x14ac:dyDescent="0.2">
      <c r="A51" t="s">
        <v>51</v>
      </c>
      <c r="B51" t="s">
        <v>52</v>
      </c>
      <c r="C51" t="s">
        <v>24</v>
      </c>
      <c r="D51" t="s">
        <v>25</v>
      </c>
      <c r="E51" t="s">
        <v>42</v>
      </c>
      <c r="F51" t="s">
        <v>43</v>
      </c>
      <c r="G51" t="s">
        <v>45</v>
      </c>
      <c r="H51">
        <v>765</v>
      </c>
      <c r="I51">
        <v>0.54462571147849104</v>
      </c>
      <c r="J51">
        <v>0.23537445416809899</v>
      </c>
      <c r="K51">
        <v>0.30925125731039099</v>
      </c>
      <c r="L51">
        <v>0.27024908997118402</v>
      </c>
      <c r="M51">
        <v>0.35064880289137301</v>
      </c>
      <c r="Q51">
        <v>10000</v>
      </c>
      <c r="R51" t="s">
        <v>37</v>
      </c>
      <c r="S51">
        <v>-0.30925125731039099</v>
      </c>
      <c r="T51" t="s">
        <v>24</v>
      </c>
      <c r="U51" s="1">
        <v>9.9990000999900002E-5</v>
      </c>
      <c r="V51">
        <v>4.9995000499950004E-4</v>
      </c>
      <c r="W51" t="b">
        <v>1</v>
      </c>
      <c r="X51">
        <v>5</v>
      </c>
      <c r="Y51">
        <v>0</v>
      </c>
      <c r="Z51">
        <v>10000</v>
      </c>
      <c r="AA51">
        <v>10000</v>
      </c>
    </row>
    <row r="52" spans="1:27" x14ac:dyDescent="0.2">
      <c r="A52" t="s">
        <v>51</v>
      </c>
      <c r="B52" t="s">
        <v>52</v>
      </c>
      <c r="C52" t="s">
        <v>24</v>
      </c>
      <c r="D52" t="s">
        <v>25</v>
      </c>
      <c r="E52" t="s">
        <v>42</v>
      </c>
      <c r="F52" t="s">
        <v>43</v>
      </c>
      <c r="G52" t="s">
        <v>46</v>
      </c>
      <c r="H52">
        <v>765</v>
      </c>
      <c r="I52">
        <v>1.3807999023364099</v>
      </c>
      <c r="J52">
        <v>0.63937814222101397</v>
      </c>
      <c r="K52">
        <v>0.74142176011539895</v>
      </c>
      <c r="L52">
        <v>0.666304904222488</v>
      </c>
      <c r="M52">
        <v>0.81714879274368202</v>
      </c>
      <c r="Q52">
        <v>10000</v>
      </c>
      <c r="R52" t="s">
        <v>37</v>
      </c>
      <c r="S52">
        <v>-0.74142176011539895</v>
      </c>
      <c r="T52" t="s">
        <v>24</v>
      </c>
      <c r="U52" s="1">
        <v>9.9990000999900002E-5</v>
      </c>
      <c r="V52">
        <v>4.9995000499950004E-4</v>
      </c>
      <c r="W52" t="b">
        <v>1</v>
      </c>
      <c r="X52">
        <v>5</v>
      </c>
      <c r="Y52">
        <v>0</v>
      </c>
      <c r="Z52">
        <v>10000</v>
      </c>
      <c r="AA52">
        <v>10000</v>
      </c>
    </row>
    <row r="53" spans="1:27" x14ac:dyDescent="0.2">
      <c r="A53" t="s">
        <v>51</v>
      </c>
      <c r="B53" t="s">
        <v>52</v>
      </c>
      <c r="C53" t="s">
        <v>24</v>
      </c>
      <c r="D53" t="s">
        <v>25</v>
      </c>
      <c r="E53" t="s">
        <v>42</v>
      </c>
      <c r="F53" t="s">
        <v>43</v>
      </c>
      <c r="G53" t="s">
        <v>47</v>
      </c>
      <c r="H53">
        <v>765</v>
      </c>
      <c r="I53">
        <v>-1.8772044829888899E-2</v>
      </c>
      <c r="J53">
        <v>0.75433490413812698</v>
      </c>
      <c r="K53">
        <v>-0.77310694896801602</v>
      </c>
      <c r="L53">
        <v>-0.83568886443972501</v>
      </c>
      <c r="M53">
        <v>-0.71117856949567704</v>
      </c>
      <c r="Q53">
        <v>10000</v>
      </c>
      <c r="R53" t="s">
        <v>31</v>
      </c>
      <c r="S53">
        <v>-0.77310694896801602</v>
      </c>
      <c r="T53" t="s">
        <v>24</v>
      </c>
      <c r="U53" s="1">
        <v>9.9990000999900002E-5</v>
      </c>
      <c r="V53">
        <v>4.9995000499950004E-4</v>
      </c>
      <c r="W53" t="b">
        <v>1</v>
      </c>
      <c r="X53">
        <v>5</v>
      </c>
      <c r="Y53">
        <v>0</v>
      </c>
      <c r="Z53">
        <v>10000</v>
      </c>
      <c r="AA53">
        <v>10000</v>
      </c>
    </row>
    <row r="54" spans="1:27" x14ac:dyDescent="0.2">
      <c r="A54" t="s">
        <v>51</v>
      </c>
      <c r="B54" t="s">
        <v>52</v>
      </c>
      <c r="C54" t="s">
        <v>24</v>
      </c>
      <c r="D54" t="s">
        <v>25</v>
      </c>
      <c r="E54" t="s">
        <v>42</v>
      </c>
      <c r="F54" t="s">
        <v>43</v>
      </c>
      <c r="G54" t="s">
        <v>48</v>
      </c>
      <c r="H54">
        <v>765</v>
      </c>
      <c r="I54">
        <v>-1.9821918774121E-4</v>
      </c>
      <c r="J54">
        <v>0.56773779691354598</v>
      </c>
      <c r="K54">
        <v>-0.56793601610128697</v>
      </c>
      <c r="L54">
        <v>-0.61869374743291705</v>
      </c>
      <c r="M54">
        <v>-0.51497198246688602</v>
      </c>
      <c r="Q54">
        <v>10000</v>
      </c>
      <c r="R54" t="s">
        <v>31</v>
      </c>
      <c r="S54">
        <v>-0.56793601610128697</v>
      </c>
      <c r="T54" t="s">
        <v>24</v>
      </c>
      <c r="U54" s="1">
        <v>9.9990000999900002E-5</v>
      </c>
      <c r="V54">
        <v>4.9995000499950004E-4</v>
      </c>
      <c r="W54" t="b">
        <v>1</v>
      </c>
      <c r="X54">
        <v>5</v>
      </c>
      <c r="Y54">
        <v>0</v>
      </c>
      <c r="Z54">
        <v>10000</v>
      </c>
      <c r="AA54">
        <v>10000</v>
      </c>
    </row>
    <row r="55" spans="1:27" x14ac:dyDescent="0.2">
      <c r="A55" t="s">
        <v>51</v>
      </c>
      <c r="B55" t="s">
        <v>52</v>
      </c>
      <c r="C55" t="s">
        <v>24</v>
      </c>
      <c r="D55" t="s">
        <v>25</v>
      </c>
      <c r="E55" t="s">
        <v>49</v>
      </c>
      <c r="F55" t="s">
        <v>50</v>
      </c>
      <c r="G55" t="s">
        <v>30</v>
      </c>
      <c r="H55">
        <v>765</v>
      </c>
      <c r="I55">
        <v>0.5</v>
      </c>
      <c r="J55">
        <v>0.66430169870816802</v>
      </c>
      <c r="K55">
        <v>-0.16430169870816799</v>
      </c>
      <c r="L55">
        <v>-0.21249109506607</v>
      </c>
      <c r="M55">
        <v>-0.116849780082702</v>
      </c>
      <c r="Q55">
        <v>10000</v>
      </c>
      <c r="R55" t="s">
        <v>31</v>
      </c>
      <c r="S55">
        <v>-0.16430169870816799</v>
      </c>
      <c r="T55" t="s">
        <v>24</v>
      </c>
      <c r="U55" s="1">
        <v>9.9990000999900002E-5</v>
      </c>
      <c r="V55">
        <v>7.9992000799920002E-4</v>
      </c>
      <c r="W55" t="b">
        <v>1</v>
      </c>
      <c r="X55">
        <v>8</v>
      </c>
      <c r="Y55">
        <v>0</v>
      </c>
      <c r="Z55">
        <v>10000</v>
      </c>
      <c r="AA55">
        <v>10000</v>
      </c>
    </row>
    <row r="56" spans="1:27" x14ac:dyDescent="0.2">
      <c r="A56" t="s">
        <v>51</v>
      </c>
      <c r="B56" t="s">
        <v>52</v>
      </c>
      <c r="C56" t="s">
        <v>24</v>
      </c>
      <c r="D56" t="s">
        <v>25</v>
      </c>
      <c r="E56" t="s">
        <v>49</v>
      </c>
      <c r="F56" t="s">
        <v>50</v>
      </c>
      <c r="G56" t="s">
        <v>32</v>
      </c>
      <c r="H56">
        <v>765</v>
      </c>
      <c r="J56">
        <v>0.46321787620895799</v>
      </c>
      <c r="Q56">
        <v>0</v>
      </c>
      <c r="R56" t="s">
        <v>31</v>
      </c>
      <c r="T56" t="s">
        <v>53</v>
      </c>
      <c r="U56" s="1">
        <v>9.9990000999900002E-5</v>
      </c>
      <c r="V56">
        <v>7.9992000799920002E-4</v>
      </c>
      <c r="W56" t="b">
        <v>1</v>
      </c>
      <c r="X56">
        <v>8</v>
      </c>
      <c r="Y56">
        <v>0</v>
      </c>
      <c r="Z56">
        <v>10000</v>
      </c>
      <c r="AA56">
        <v>10000</v>
      </c>
    </row>
    <row r="57" spans="1:27" x14ac:dyDescent="0.2">
      <c r="A57" t="s">
        <v>51</v>
      </c>
      <c r="B57" t="s">
        <v>52</v>
      </c>
      <c r="C57" t="s">
        <v>24</v>
      </c>
      <c r="D57" t="s">
        <v>25</v>
      </c>
      <c r="E57" t="s">
        <v>49</v>
      </c>
      <c r="F57" t="s">
        <v>50</v>
      </c>
      <c r="G57" t="s">
        <v>33</v>
      </c>
      <c r="H57">
        <v>765</v>
      </c>
      <c r="J57">
        <v>0.46875</v>
      </c>
      <c r="Q57">
        <v>0</v>
      </c>
      <c r="R57" t="s">
        <v>31</v>
      </c>
      <c r="T57" t="s">
        <v>53</v>
      </c>
      <c r="U57" s="1">
        <v>9.9990000999900002E-5</v>
      </c>
      <c r="V57">
        <v>7.9992000799920002E-4</v>
      </c>
      <c r="W57" t="b">
        <v>1</v>
      </c>
      <c r="X57">
        <v>8</v>
      </c>
      <c r="Y57">
        <v>0</v>
      </c>
      <c r="Z57">
        <v>10000</v>
      </c>
      <c r="AA57">
        <v>10000</v>
      </c>
    </row>
    <row r="58" spans="1:27" x14ac:dyDescent="0.2">
      <c r="A58" t="s">
        <v>51</v>
      </c>
      <c r="B58" t="s">
        <v>52</v>
      </c>
      <c r="C58" t="s">
        <v>24</v>
      </c>
      <c r="D58" t="s">
        <v>25</v>
      </c>
      <c r="E58" t="s">
        <v>49</v>
      </c>
      <c r="F58" t="s">
        <v>50</v>
      </c>
      <c r="G58" t="s">
        <v>34</v>
      </c>
      <c r="H58">
        <v>765</v>
      </c>
      <c r="J58">
        <v>0.73170731707317005</v>
      </c>
      <c r="Q58">
        <v>0</v>
      </c>
      <c r="R58" t="s">
        <v>31</v>
      </c>
      <c r="T58" t="s">
        <v>53</v>
      </c>
      <c r="U58" s="1">
        <v>9.9990000999900002E-5</v>
      </c>
      <c r="V58">
        <v>7.9992000799920002E-4</v>
      </c>
      <c r="W58" t="b">
        <v>1</v>
      </c>
      <c r="X58">
        <v>8</v>
      </c>
      <c r="Y58">
        <v>0</v>
      </c>
      <c r="Z58">
        <v>10000</v>
      </c>
      <c r="AA58">
        <v>10000</v>
      </c>
    </row>
    <row r="59" spans="1:27" x14ac:dyDescent="0.2">
      <c r="A59" t="s">
        <v>51</v>
      </c>
      <c r="B59" t="s">
        <v>52</v>
      </c>
      <c r="C59" t="s">
        <v>24</v>
      </c>
      <c r="D59" t="s">
        <v>25</v>
      </c>
      <c r="E59" t="s">
        <v>49</v>
      </c>
      <c r="F59" t="s">
        <v>50</v>
      </c>
      <c r="G59" t="s">
        <v>35</v>
      </c>
      <c r="H59">
        <v>765</v>
      </c>
      <c r="I59">
        <v>0</v>
      </c>
      <c r="J59">
        <v>0.34482758620689602</v>
      </c>
      <c r="K59">
        <v>-0.34482758620689602</v>
      </c>
      <c r="L59">
        <v>-0.43678161501884399</v>
      </c>
      <c r="M59">
        <v>-0.25287356972694303</v>
      </c>
      <c r="Q59">
        <v>10000</v>
      </c>
      <c r="R59" t="s">
        <v>31</v>
      </c>
      <c r="S59">
        <v>-0.34482758620689602</v>
      </c>
      <c r="T59" t="s">
        <v>24</v>
      </c>
      <c r="U59" s="1">
        <v>9.9990000999900002E-5</v>
      </c>
      <c r="V59">
        <v>7.9992000799920002E-4</v>
      </c>
      <c r="W59" t="b">
        <v>1</v>
      </c>
      <c r="X59">
        <v>8</v>
      </c>
      <c r="Y59">
        <v>0</v>
      </c>
      <c r="Z59">
        <v>10000</v>
      </c>
      <c r="AA59">
        <v>10000</v>
      </c>
    </row>
    <row r="60" spans="1:27" x14ac:dyDescent="0.2">
      <c r="A60" t="s">
        <v>51</v>
      </c>
      <c r="B60" t="s">
        <v>52</v>
      </c>
      <c r="C60" t="s">
        <v>24</v>
      </c>
      <c r="D60" t="s">
        <v>25</v>
      </c>
      <c r="E60" t="s">
        <v>49</v>
      </c>
      <c r="F60" t="s">
        <v>50</v>
      </c>
      <c r="G60" t="s">
        <v>36</v>
      </c>
      <c r="H60">
        <v>765</v>
      </c>
      <c r="I60">
        <v>87</v>
      </c>
      <c r="J60">
        <v>57</v>
      </c>
      <c r="K60">
        <v>30</v>
      </c>
      <c r="L60">
        <v>22</v>
      </c>
      <c r="M60">
        <v>38</v>
      </c>
      <c r="Q60">
        <v>10000</v>
      </c>
      <c r="R60" t="s">
        <v>37</v>
      </c>
      <c r="S60">
        <v>-30</v>
      </c>
      <c r="T60" t="s">
        <v>24</v>
      </c>
      <c r="U60" s="1">
        <v>9.9990000999900002E-5</v>
      </c>
      <c r="V60">
        <v>7.9992000799920002E-4</v>
      </c>
      <c r="W60" t="b">
        <v>1</v>
      </c>
      <c r="X60">
        <v>8</v>
      </c>
      <c r="Y60">
        <v>0</v>
      </c>
      <c r="Z60">
        <v>10000</v>
      </c>
      <c r="AA60">
        <v>10000</v>
      </c>
    </row>
    <row r="61" spans="1:27" x14ac:dyDescent="0.2">
      <c r="A61" t="s">
        <v>51</v>
      </c>
      <c r="B61" t="s">
        <v>52</v>
      </c>
      <c r="C61" t="s">
        <v>24</v>
      </c>
      <c r="D61" t="s">
        <v>25</v>
      </c>
      <c r="E61" t="s">
        <v>49</v>
      </c>
      <c r="F61" t="s">
        <v>50</v>
      </c>
      <c r="G61" t="s">
        <v>38</v>
      </c>
      <c r="H61">
        <v>765</v>
      </c>
      <c r="I61">
        <v>0.112748854331004</v>
      </c>
      <c r="J61">
        <v>0.60769699832702695</v>
      </c>
      <c r="K61">
        <v>-0.49494814399602199</v>
      </c>
      <c r="L61">
        <v>-0.58279034197330404</v>
      </c>
      <c r="M61">
        <v>-0.41002274751663198</v>
      </c>
      <c r="Q61">
        <v>10000</v>
      </c>
      <c r="R61" t="s">
        <v>31</v>
      </c>
      <c r="S61">
        <v>-0.49494814399602199</v>
      </c>
      <c r="T61" t="s">
        <v>24</v>
      </c>
      <c r="U61" s="1">
        <v>9.9990000999900002E-5</v>
      </c>
      <c r="V61">
        <v>7.9992000799920002E-4</v>
      </c>
      <c r="W61" t="b">
        <v>1</v>
      </c>
      <c r="X61">
        <v>8</v>
      </c>
      <c r="Y61">
        <v>0</v>
      </c>
      <c r="Z61">
        <v>10000</v>
      </c>
      <c r="AA61">
        <v>10000</v>
      </c>
    </row>
    <row r="62" spans="1:27" x14ac:dyDescent="0.2">
      <c r="A62" t="s">
        <v>51</v>
      </c>
      <c r="B62" t="s">
        <v>52</v>
      </c>
      <c r="C62" t="s">
        <v>24</v>
      </c>
      <c r="D62" t="s">
        <v>25</v>
      </c>
      <c r="E62" t="s">
        <v>49</v>
      </c>
      <c r="F62" t="s">
        <v>50</v>
      </c>
      <c r="G62" t="s">
        <v>39</v>
      </c>
      <c r="H62">
        <v>765</v>
      </c>
      <c r="I62">
        <v>0.49740616417454903</v>
      </c>
      <c r="J62">
        <v>0.90114603465229004</v>
      </c>
      <c r="K62">
        <v>-0.40373987047774001</v>
      </c>
      <c r="L62">
        <v>-0.43123833090066899</v>
      </c>
      <c r="M62">
        <v>-0.37398535311221998</v>
      </c>
      <c r="Q62">
        <v>10000</v>
      </c>
      <c r="R62" t="s">
        <v>31</v>
      </c>
      <c r="S62">
        <v>-0.40373987047774001</v>
      </c>
      <c r="T62" t="s">
        <v>24</v>
      </c>
      <c r="U62" s="1">
        <v>9.9990000999900002E-5</v>
      </c>
      <c r="V62">
        <v>7.9992000799920002E-4</v>
      </c>
      <c r="W62" t="b">
        <v>1</v>
      </c>
      <c r="X62">
        <v>8</v>
      </c>
      <c r="Y62">
        <v>0</v>
      </c>
      <c r="Z62">
        <v>10000</v>
      </c>
      <c r="AA62">
        <v>10000</v>
      </c>
    </row>
    <row r="63" spans="1:27" x14ac:dyDescent="0.2">
      <c r="A63" t="s">
        <v>51</v>
      </c>
      <c r="B63" t="s">
        <v>52</v>
      </c>
      <c r="C63" t="s">
        <v>54</v>
      </c>
      <c r="D63" t="s">
        <v>55</v>
      </c>
      <c r="E63" t="s">
        <v>28</v>
      </c>
      <c r="F63" t="s">
        <v>29</v>
      </c>
      <c r="G63" t="s">
        <v>30</v>
      </c>
      <c r="H63">
        <v>3156</v>
      </c>
      <c r="I63">
        <v>0.5</v>
      </c>
      <c r="J63">
        <v>0.5</v>
      </c>
      <c r="K63">
        <v>0</v>
      </c>
      <c r="L63">
        <v>0</v>
      </c>
      <c r="M63">
        <v>0</v>
      </c>
      <c r="Q63">
        <v>10000</v>
      </c>
      <c r="R63" t="s">
        <v>31</v>
      </c>
      <c r="S63">
        <v>0</v>
      </c>
      <c r="T63" t="s">
        <v>53</v>
      </c>
      <c r="U63">
        <v>1</v>
      </c>
      <c r="V63">
        <v>1</v>
      </c>
      <c r="W63" t="b">
        <v>0</v>
      </c>
      <c r="X63">
        <v>8</v>
      </c>
      <c r="Y63">
        <v>10000</v>
      </c>
      <c r="Z63">
        <v>10000</v>
      </c>
      <c r="AA63">
        <v>10000</v>
      </c>
    </row>
    <row r="64" spans="1:27" x14ac:dyDescent="0.2">
      <c r="A64" t="s">
        <v>51</v>
      </c>
      <c r="B64" t="s">
        <v>52</v>
      </c>
      <c r="C64" t="s">
        <v>54</v>
      </c>
      <c r="D64" t="s">
        <v>55</v>
      </c>
      <c r="E64" t="s">
        <v>28</v>
      </c>
      <c r="F64" t="s">
        <v>29</v>
      </c>
      <c r="G64" t="s">
        <v>32</v>
      </c>
      <c r="H64">
        <v>3156</v>
      </c>
      <c r="Q64">
        <v>0</v>
      </c>
      <c r="R64" t="s">
        <v>31</v>
      </c>
      <c r="T64" t="s">
        <v>53</v>
      </c>
      <c r="W64" t="b">
        <v>0</v>
      </c>
      <c r="X64">
        <v>8</v>
      </c>
      <c r="Y64">
        <v>0</v>
      </c>
      <c r="Z64">
        <v>0</v>
      </c>
      <c r="AA64">
        <v>10000</v>
      </c>
    </row>
    <row r="65" spans="1:27" x14ac:dyDescent="0.2">
      <c r="A65" t="s">
        <v>51</v>
      </c>
      <c r="B65" t="s">
        <v>52</v>
      </c>
      <c r="C65" t="s">
        <v>54</v>
      </c>
      <c r="D65" t="s">
        <v>55</v>
      </c>
      <c r="E65" t="s">
        <v>28</v>
      </c>
      <c r="F65" t="s">
        <v>29</v>
      </c>
      <c r="G65" t="s">
        <v>33</v>
      </c>
      <c r="H65">
        <v>3156</v>
      </c>
      <c r="Q65">
        <v>0</v>
      </c>
      <c r="R65" t="s">
        <v>31</v>
      </c>
      <c r="T65" t="s">
        <v>53</v>
      </c>
      <c r="W65" t="b">
        <v>0</v>
      </c>
      <c r="X65">
        <v>8</v>
      </c>
      <c r="Y65">
        <v>0</v>
      </c>
      <c r="Z65">
        <v>0</v>
      </c>
      <c r="AA65">
        <v>10000</v>
      </c>
    </row>
    <row r="66" spans="1:27" x14ac:dyDescent="0.2">
      <c r="A66" t="s">
        <v>51</v>
      </c>
      <c r="B66" t="s">
        <v>52</v>
      </c>
      <c r="C66" t="s">
        <v>54</v>
      </c>
      <c r="D66" t="s">
        <v>55</v>
      </c>
      <c r="E66" t="s">
        <v>28</v>
      </c>
      <c r="F66" t="s">
        <v>29</v>
      </c>
      <c r="G66" t="s">
        <v>34</v>
      </c>
      <c r="H66">
        <v>3156</v>
      </c>
      <c r="Q66">
        <v>0</v>
      </c>
      <c r="R66" t="s">
        <v>31</v>
      </c>
      <c r="T66" t="s">
        <v>53</v>
      </c>
      <c r="W66" t="b">
        <v>0</v>
      </c>
      <c r="X66">
        <v>8</v>
      </c>
      <c r="Y66">
        <v>0</v>
      </c>
      <c r="Z66">
        <v>0</v>
      </c>
      <c r="AA66">
        <v>10000</v>
      </c>
    </row>
    <row r="67" spans="1:27" x14ac:dyDescent="0.2">
      <c r="A67" t="s">
        <v>51</v>
      </c>
      <c r="B67" t="s">
        <v>52</v>
      </c>
      <c r="C67" t="s">
        <v>54</v>
      </c>
      <c r="D67" t="s">
        <v>55</v>
      </c>
      <c r="E67" t="s">
        <v>28</v>
      </c>
      <c r="F67" t="s">
        <v>29</v>
      </c>
      <c r="G67" t="s">
        <v>35</v>
      </c>
      <c r="H67">
        <v>3156</v>
      </c>
      <c r="I67">
        <v>0</v>
      </c>
      <c r="J67">
        <v>0</v>
      </c>
      <c r="K67">
        <v>0</v>
      </c>
      <c r="L67">
        <v>0</v>
      </c>
      <c r="M67">
        <v>0</v>
      </c>
      <c r="Q67">
        <v>10000</v>
      </c>
      <c r="R67" t="s">
        <v>31</v>
      </c>
      <c r="S67">
        <v>0</v>
      </c>
      <c r="T67" t="s">
        <v>53</v>
      </c>
      <c r="U67">
        <v>1</v>
      </c>
      <c r="V67">
        <v>1</v>
      </c>
      <c r="W67" t="b">
        <v>0</v>
      </c>
      <c r="X67">
        <v>8</v>
      </c>
      <c r="Y67">
        <v>10000</v>
      </c>
      <c r="Z67">
        <v>10000</v>
      </c>
      <c r="AA67">
        <v>10000</v>
      </c>
    </row>
    <row r="68" spans="1:27" x14ac:dyDescent="0.2">
      <c r="A68" t="s">
        <v>51</v>
      </c>
      <c r="B68" t="s">
        <v>52</v>
      </c>
      <c r="C68" t="s">
        <v>54</v>
      </c>
      <c r="D68" t="s">
        <v>55</v>
      </c>
      <c r="E68" t="s">
        <v>28</v>
      </c>
      <c r="F68" t="s">
        <v>29</v>
      </c>
      <c r="G68" t="s">
        <v>36</v>
      </c>
      <c r="H68">
        <v>3156</v>
      </c>
      <c r="I68">
        <v>961</v>
      </c>
      <c r="J68">
        <v>961</v>
      </c>
      <c r="K68">
        <v>0</v>
      </c>
      <c r="L68">
        <v>0</v>
      </c>
      <c r="M68">
        <v>0</v>
      </c>
      <c r="Q68">
        <v>10000</v>
      </c>
      <c r="R68" t="s">
        <v>37</v>
      </c>
      <c r="S68">
        <v>0</v>
      </c>
      <c r="T68" t="s">
        <v>53</v>
      </c>
      <c r="U68">
        <v>1</v>
      </c>
      <c r="V68">
        <v>1</v>
      </c>
      <c r="W68" t="b">
        <v>0</v>
      </c>
      <c r="X68">
        <v>8</v>
      </c>
      <c r="Y68">
        <v>10000</v>
      </c>
      <c r="Z68">
        <v>10000</v>
      </c>
      <c r="AA68">
        <v>10000</v>
      </c>
    </row>
    <row r="69" spans="1:27" x14ac:dyDescent="0.2">
      <c r="A69" t="s">
        <v>51</v>
      </c>
      <c r="B69" t="s">
        <v>52</v>
      </c>
      <c r="C69" t="s">
        <v>54</v>
      </c>
      <c r="D69" t="s">
        <v>55</v>
      </c>
      <c r="E69" t="s">
        <v>28</v>
      </c>
      <c r="F69" t="s">
        <v>29</v>
      </c>
      <c r="G69" t="s">
        <v>38</v>
      </c>
      <c r="H69">
        <v>3156</v>
      </c>
      <c r="I69">
        <v>0.30445178611650098</v>
      </c>
      <c r="J69">
        <v>0.30432319464579999</v>
      </c>
      <c r="K69">
        <v>1.2859147070176601E-4</v>
      </c>
      <c r="L69">
        <v>1.28597021102905E-4</v>
      </c>
      <c r="M69">
        <v>1.28597021102905E-4</v>
      </c>
      <c r="Q69">
        <v>10000</v>
      </c>
      <c r="R69" t="s">
        <v>31</v>
      </c>
      <c r="S69">
        <v>1.2859147070176601E-4</v>
      </c>
      <c r="T69" t="s">
        <v>51</v>
      </c>
      <c r="U69">
        <v>0.98850114988501103</v>
      </c>
      <c r="V69">
        <v>1</v>
      </c>
      <c r="W69" t="b">
        <v>0</v>
      </c>
      <c r="X69">
        <v>8</v>
      </c>
      <c r="Y69">
        <v>9885</v>
      </c>
      <c r="Z69">
        <v>10000</v>
      </c>
      <c r="AA69">
        <v>10000</v>
      </c>
    </row>
    <row r="70" spans="1:27" x14ac:dyDescent="0.2">
      <c r="A70" t="s">
        <v>51</v>
      </c>
      <c r="B70" t="s">
        <v>52</v>
      </c>
      <c r="C70" t="s">
        <v>54</v>
      </c>
      <c r="D70" t="s">
        <v>55</v>
      </c>
      <c r="E70" t="s">
        <v>28</v>
      </c>
      <c r="F70" t="s">
        <v>29</v>
      </c>
      <c r="G70" t="s">
        <v>39</v>
      </c>
      <c r="H70">
        <v>3156</v>
      </c>
      <c r="I70">
        <v>0.5</v>
      </c>
      <c r="J70">
        <v>0.49958376690946898</v>
      </c>
      <c r="K70">
        <v>4.1623309053068197E-4</v>
      </c>
      <c r="L70">
        <v>4.1621923446655198E-4</v>
      </c>
      <c r="M70">
        <v>4.1621923446655198E-4</v>
      </c>
      <c r="Q70">
        <v>10000</v>
      </c>
      <c r="R70" t="s">
        <v>31</v>
      </c>
      <c r="S70">
        <v>4.1623309053068197E-4</v>
      </c>
      <c r="T70" t="s">
        <v>51</v>
      </c>
      <c r="U70">
        <v>0.98490150984901503</v>
      </c>
      <c r="V70">
        <v>1</v>
      </c>
      <c r="W70" t="b">
        <v>0</v>
      </c>
      <c r="X70">
        <v>8</v>
      </c>
      <c r="Y70">
        <v>9849</v>
      </c>
      <c r="Z70">
        <v>10000</v>
      </c>
      <c r="AA70">
        <v>10000</v>
      </c>
    </row>
    <row r="71" spans="1:27" x14ac:dyDescent="0.2">
      <c r="A71" t="s">
        <v>51</v>
      </c>
      <c r="B71" t="s">
        <v>52</v>
      </c>
      <c r="C71" t="s">
        <v>54</v>
      </c>
      <c r="D71" t="s">
        <v>55</v>
      </c>
      <c r="E71" t="s">
        <v>40</v>
      </c>
      <c r="F71" t="s">
        <v>41</v>
      </c>
      <c r="G71" t="s">
        <v>30</v>
      </c>
      <c r="H71">
        <v>2391</v>
      </c>
      <c r="I71">
        <v>0.5</v>
      </c>
      <c r="J71">
        <v>0.5</v>
      </c>
      <c r="K71">
        <v>0</v>
      </c>
      <c r="L71">
        <v>0</v>
      </c>
      <c r="M71">
        <v>0</v>
      </c>
      <c r="Q71">
        <v>10000</v>
      </c>
      <c r="R71" t="s">
        <v>31</v>
      </c>
      <c r="S71">
        <v>0</v>
      </c>
      <c r="T71" t="s">
        <v>53</v>
      </c>
      <c r="U71">
        <v>1</v>
      </c>
      <c r="V71">
        <v>1</v>
      </c>
      <c r="W71" t="b">
        <v>0</v>
      </c>
      <c r="X71">
        <v>8</v>
      </c>
      <c r="Y71">
        <v>10000</v>
      </c>
      <c r="Z71">
        <v>10000</v>
      </c>
      <c r="AA71">
        <v>10000</v>
      </c>
    </row>
    <row r="72" spans="1:27" x14ac:dyDescent="0.2">
      <c r="A72" t="s">
        <v>51</v>
      </c>
      <c r="B72" t="s">
        <v>52</v>
      </c>
      <c r="C72" t="s">
        <v>54</v>
      </c>
      <c r="D72" t="s">
        <v>55</v>
      </c>
      <c r="E72" t="s">
        <v>40</v>
      </c>
      <c r="F72" t="s">
        <v>41</v>
      </c>
      <c r="G72" t="s">
        <v>32</v>
      </c>
      <c r="H72">
        <v>2391</v>
      </c>
      <c r="Q72">
        <v>0</v>
      </c>
      <c r="R72" t="s">
        <v>31</v>
      </c>
      <c r="T72" t="s">
        <v>53</v>
      </c>
      <c r="W72" t="b">
        <v>0</v>
      </c>
      <c r="X72">
        <v>8</v>
      </c>
      <c r="Y72">
        <v>0</v>
      </c>
      <c r="Z72">
        <v>0</v>
      </c>
      <c r="AA72">
        <v>10000</v>
      </c>
    </row>
    <row r="73" spans="1:27" x14ac:dyDescent="0.2">
      <c r="A73" t="s">
        <v>51</v>
      </c>
      <c r="B73" t="s">
        <v>52</v>
      </c>
      <c r="C73" t="s">
        <v>54</v>
      </c>
      <c r="D73" t="s">
        <v>55</v>
      </c>
      <c r="E73" t="s">
        <v>40</v>
      </c>
      <c r="F73" t="s">
        <v>41</v>
      </c>
      <c r="G73" t="s">
        <v>33</v>
      </c>
      <c r="H73">
        <v>2391</v>
      </c>
      <c r="Q73">
        <v>0</v>
      </c>
      <c r="R73" t="s">
        <v>31</v>
      </c>
      <c r="T73" t="s">
        <v>53</v>
      </c>
      <c r="W73" t="b">
        <v>0</v>
      </c>
      <c r="X73">
        <v>8</v>
      </c>
      <c r="Y73">
        <v>0</v>
      </c>
      <c r="Z73">
        <v>0</v>
      </c>
      <c r="AA73">
        <v>10000</v>
      </c>
    </row>
    <row r="74" spans="1:27" x14ac:dyDescent="0.2">
      <c r="A74" t="s">
        <v>51</v>
      </c>
      <c r="B74" t="s">
        <v>52</v>
      </c>
      <c r="C74" t="s">
        <v>54</v>
      </c>
      <c r="D74" t="s">
        <v>55</v>
      </c>
      <c r="E74" t="s">
        <v>40</v>
      </c>
      <c r="F74" t="s">
        <v>41</v>
      </c>
      <c r="G74" t="s">
        <v>34</v>
      </c>
      <c r="H74">
        <v>2391</v>
      </c>
      <c r="Q74">
        <v>0</v>
      </c>
      <c r="R74" t="s">
        <v>31</v>
      </c>
      <c r="T74" t="s">
        <v>53</v>
      </c>
      <c r="W74" t="b">
        <v>0</v>
      </c>
      <c r="X74">
        <v>8</v>
      </c>
      <c r="Y74">
        <v>0</v>
      </c>
      <c r="Z74">
        <v>0</v>
      </c>
      <c r="AA74">
        <v>10000</v>
      </c>
    </row>
    <row r="75" spans="1:27" x14ac:dyDescent="0.2">
      <c r="A75" t="s">
        <v>51</v>
      </c>
      <c r="B75" t="s">
        <v>52</v>
      </c>
      <c r="C75" t="s">
        <v>54</v>
      </c>
      <c r="D75" t="s">
        <v>55</v>
      </c>
      <c r="E75" t="s">
        <v>40</v>
      </c>
      <c r="F75" t="s">
        <v>41</v>
      </c>
      <c r="G75" t="s">
        <v>35</v>
      </c>
      <c r="H75">
        <v>2391</v>
      </c>
      <c r="I75">
        <v>0</v>
      </c>
      <c r="J75">
        <v>0</v>
      </c>
      <c r="K75">
        <v>0</v>
      </c>
      <c r="L75">
        <v>0</v>
      </c>
      <c r="M75">
        <v>0</v>
      </c>
      <c r="Q75">
        <v>10000</v>
      </c>
      <c r="R75" t="s">
        <v>31</v>
      </c>
      <c r="S75">
        <v>0</v>
      </c>
      <c r="T75" t="s">
        <v>53</v>
      </c>
      <c r="U75">
        <v>1</v>
      </c>
      <c r="V75">
        <v>1</v>
      </c>
      <c r="W75" t="b">
        <v>0</v>
      </c>
      <c r="X75">
        <v>8</v>
      </c>
      <c r="Y75">
        <v>10000</v>
      </c>
      <c r="Z75">
        <v>10000</v>
      </c>
      <c r="AA75">
        <v>10000</v>
      </c>
    </row>
    <row r="76" spans="1:27" x14ac:dyDescent="0.2">
      <c r="A76" t="s">
        <v>51</v>
      </c>
      <c r="B76" t="s">
        <v>52</v>
      </c>
      <c r="C76" t="s">
        <v>54</v>
      </c>
      <c r="D76" t="s">
        <v>55</v>
      </c>
      <c r="E76" t="s">
        <v>40</v>
      </c>
      <c r="F76" t="s">
        <v>41</v>
      </c>
      <c r="G76" t="s">
        <v>36</v>
      </c>
      <c r="H76">
        <v>2391</v>
      </c>
      <c r="I76">
        <v>874</v>
      </c>
      <c r="J76">
        <v>874</v>
      </c>
      <c r="K76">
        <v>0</v>
      </c>
      <c r="L76">
        <v>0</v>
      </c>
      <c r="M76">
        <v>0</v>
      </c>
      <c r="Q76">
        <v>10000</v>
      </c>
      <c r="R76" t="s">
        <v>37</v>
      </c>
      <c r="S76">
        <v>0</v>
      </c>
      <c r="T76" t="s">
        <v>53</v>
      </c>
      <c r="U76">
        <v>1</v>
      </c>
      <c r="V76">
        <v>1</v>
      </c>
      <c r="W76" t="b">
        <v>0</v>
      </c>
      <c r="X76">
        <v>8</v>
      </c>
      <c r="Y76">
        <v>10000</v>
      </c>
      <c r="Z76">
        <v>10000</v>
      </c>
      <c r="AA76">
        <v>10000</v>
      </c>
    </row>
    <row r="77" spans="1:27" x14ac:dyDescent="0.2">
      <c r="A77" t="s">
        <v>51</v>
      </c>
      <c r="B77" t="s">
        <v>52</v>
      </c>
      <c r="C77" t="s">
        <v>54</v>
      </c>
      <c r="D77" t="s">
        <v>55</v>
      </c>
      <c r="E77" t="s">
        <v>40</v>
      </c>
      <c r="F77" t="s">
        <v>41</v>
      </c>
      <c r="G77" t="s">
        <v>38</v>
      </c>
      <c r="H77">
        <v>2391</v>
      </c>
      <c r="I77">
        <v>0.36580113090011601</v>
      </c>
      <c r="J77">
        <v>0.36557609459197499</v>
      </c>
      <c r="K77">
        <v>2.25036308141135E-4</v>
      </c>
      <c r="L77">
        <v>2.2503733634948701E-4</v>
      </c>
      <c r="M77">
        <v>2.2503733634948701E-4</v>
      </c>
      <c r="Q77">
        <v>10000</v>
      </c>
      <c r="R77" t="s">
        <v>31</v>
      </c>
      <c r="S77">
        <v>2.25036308141135E-4</v>
      </c>
      <c r="T77" t="s">
        <v>51</v>
      </c>
      <c r="U77">
        <v>0.98650134986501303</v>
      </c>
      <c r="V77">
        <v>1</v>
      </c>
      <c r="W77" t="b">
        <v>0</v>
      </c>
      <c r="X77">
        <v>8</v>
      </c>
      <c r="Y77">
        <v>9865</v>
      </c>
      <c r="Z77">
        <v>10000</v>
      </c>
      <c r="AA77">
        <v>10000</v>
      </c>
    </row>
    <row r="78" spans="1:27" x14ac:dyDescent="0.2">
      <c r="A78" t="s">
        <v>51</v>
      </c>
      <c r="B78" t="s">
        <v>52</v>
      </c>
      <c r="C78" t="s">
        <v>54</v>
      </c>
      <c r="D78" t="s">
        <v>55</v>
      </c>
      <c r="E78" t="s">
        <v>40</v>
      </c>
      <c r="F78" t="s">
        <v>41</v>
      </c>
      <c r="G78" t="s">
        <v>39</v>
      </c>
      <c r="H78">
        <v>2391</v>
      </c>
      <c r="I78">
        <v>0.50036089837674902</v>
      </c>
      <c r="J78">
        <v>0.50008334225837103</v>
      </c>
      <c r="K78">
        <v>2.7755611837765299E-4</v>
      </c>
      <c r="L78">
        <v>2.7757883071899398E-4</v>
      </c>
      <c r="M78">
        <v>2.7757883071899398E-4</v>
      </c>
      <c r="Q78">
        <v>10000</v>
      </c>
      <c r="R78" t="s">
        <v>31</v>
      </c>
      <c r="S78">
        <v>2.7755611837765299E-4</v>
      </c>
      <c r="T78" t="s">
        <v>51</v>
      </c>
      <c r="U78">
        <v>0.99050094990500903</v>
      </c>
      <c r="V78">
        <v>1</v>
      </c>
      <c r="W78" t="b">
        <v>0</v>
      </c>
      <c r="X78">
        <v>8</v>
      </c>
      <c r="Y78">
        <v>9905</v>
      </c>
      <c r="Z78">
        <v>10000</v>
      </c>
      <c r="AA78">
        <v>10000</v>
      </c>
    </row>
    <row r="79" spans="1:27" x14ac:dyDescent="0.2">
      <c r="A79" t="s">
        <v>51</v>
      </c>
      <c r="B79" t="s">
        <v>52</v>
      </c>
      <c r="C79" t="s">
        <v>54</v>
      </c>
      <c r="D79" t="s">
        <v>55</v>
      </c>
      <c r="E79" t="s">
        <v>49</v>
      </c>
      <c r="F79" t="s">
        <v>50</v>
      </c>
      <c r="G79" t="s">
        <v>30</v>
      </c>
      <c r="H79">
        <v>765</v>
      </c>
      <c r="I79">
        <v>0.5</v>
      </c>
      <c r="J79">
        <v>0.5</v>
      </c>
      <c r="K79">
        <v>0</v>
      </c>
      <c r="L79">
        <v>0</v>
      </c>
      <c r="M79">
        <v>0</v>
      </c>
      <c r="Q79">
        <v>10000</v>
      </c>
      <c r="R79" t="s">
        <v>31</v>
      </c>
      <c r="S79">
        <v>0</v>
      </c>
      <c r="T79" t="s">
        <v>53</v>
      </c>
      <c r="U79">
        <v>1</v>
      </c>
      <c r="V79">
        <v>1</v>
      </c>
      <c r="W79" t="b">
        <v>0</v>
      </c>
      <c r="X79">
        <v>8</v>
      </c>
      <c r="Y79">
        <v>10000</v>
      </c>
      <c r="Z79">
        <v>10000</v>
      </c>
      <c r="AA79">
        <v>10000</v>
      </c>
    </row>
    <row r="80" spans="1:27" x14ac:dyDescent="0.2">
      <c r="A80" t="s">
        <v>51</v>
      </c>
      <c r="B80" t="s">
        <v>52</v>
      </c>
      <c r="C80" t="s">
        <v>54</v>
      </c>
      <c r="D80" t="s">
        <v>55</v>
      </c>
      <c r="E80" t="s">
        <v>49</v>
      </c>
      <c r="F80" t="s">
        <v>50</v>
      </c>
      <c r="G80" t="s">
        <v>32</v>
      </c>
      <c r="H80">
        <v>765</v>
      </c>
      <c r="Q80">
        <v>0</v>
      </c>
      <c r="R80" t="s">
        <v>31</v>
      </c>
      <c r="T80" t="s">
        <v>53</v>
      </c>
      <c r="W80" t="b">
        <v>0</v>
      </c>
      <c r="X80">
        <v>8</v>
      </c>
      <c r="Y80">
        <v>0</v>
      </c>
      <c r="Z80">
        <v>0</v>
      </c>
      <c r="AA80">
        <v>10000</v>
      </c>
    </row>
    <row r="81" spans="1:27" x14ac:dyDescent="0.2">
      <c r="A81" t="s">
        <v>51</v>
      </c>
      <c r="B81" t="s">
        <v>52</v>
      </c>
      <c r="C81" t="s">
        <v>54</v>
      </c>
      <c r="D81" t="s">
        <v>55</v>
      </c>
      <c r="E81" t="s">
        <v>49</v>
      </c>
      <c r="F81" t="s">
        <v>50</v>
      </c>
      <c r="G81" t="s">
        <v>33</v>
      </c>
      <c r="H81">
        <v>765</v>
      </c>
      <c r="Q81">
        <v>0</v>
      </c>
      <c r="R81" t="s">
        <v>31</v>
      </c>
      <c r="T81" t="s">
        <v>53</v>
      </c>
      <c r="W81" t="b">
        <v>0</v>
      </c>
      <c r="X81">
        <v>8</v>
      </c>
      <c r="Y81">
        <v>0</v>
      </c>
      <c r="Z81">
        <v>0</v>
      </c>
      <c r="AA81">
        <v>10000</v>
      </c>
    </row>
    <row r="82" spans="1:27" x14ac:dyDescent="0.2">
      <c r="A82" t="s">
        <v>51</v>
      </c>
      <c r="B82" t="s">
        <v>52</v>
      </c>
      <c r="C82" t="s">
        <v>54</v>
      </c>
      <c r="D82" t="s">
        <v>55</v>
      </c>
      <c r="E82" t="s">
        <v>49</v>
      </c>
      <c r="F82" t="s">
        <v>50</v>
      </c>
      <c r="G82" t="s">
        <v>34</v>
      </c>
      <c r="H82">
        <v>765</v>
      </c>
      <c r="Q82">
        <v>0</v>
      </c>
      <c r="R82" t="s">
        <v>31</v>
      </c>
      <c r="T82" t="s">
        <v>53</v>
      </c>
      <c r="W82" t="b">
        <v>0</v>
      </c>
      <c r="X82">
        <v>8</v>
      </c>
      <c r="Y82">
        <v>0</v>
      </c>
      <c r="Z82">
        <v>0</v>
      </c>
      <c r="AA82">
        <v>10000</v>
      </c>
    </row>
    <row r="83" spans="1:27" x14ac:dyDescent="0.2">
      <c r="A83" t="s">
        <v>51</v>
      </c>
      <c r="B83" t="s">
        <v>52</v>
      </c>
      <c r="C83" t="s">
        <v>54</v>
      </c>
      <c r="D83" t="s">
        <v>55</v>
      </c>
      <c r="E83" t="s">
        <v>49</v>
      </c>
      <c r="F83" t="s">
        <v>50</v>
      </c>
      <c r="G83" t="s">
        <v>35</v>
      </c>
      <c r="H83">
        <v>765</v>
      </c>
      <c r="I83">
        <v>0</v>
      </c>
      <c r="J83">
        <v>0</v>
      </c>
      <c r="K83">
        <v>0</v>
      </c>
      <c r="L83">
        <v>0</v>
      </c>
      <c r="M83">
        <v>0</v>
      </c>
      <c r="Q83">
        <v>10000</v>
      </c>
      <c r="R83" t="s">
        <v>31</v>
      </c>
      <c r="S83">
        <v>0</v>
      </c>
      <c r="T83" t="s">
        <v>53</v>
      </c>
      <c r="U83">
        <v>1</v>
      </c>
      <c r="V83">
        <v>1</v>
      </c>
      <c r="W83" t="b">
        <v>0</v>
      </c>
      <c r="X83">
        <v>8</v>
      </c>
      <c r="Y83">
        <v>10000</v>
      </c>
      <c r="Z83">
        <v>10000</v>
      </c>
      <c r="AA83">
        <v>10000</v>
      </c>
    </row>
    <row r="84" spans="1:27" x14ac:dyDescent="0.2">
      <c r="A84" t="s">
        <v>51</v>
      </c>
      <c r="B84" t="s">
        <v>52</v>
      </c>
      <c r="C84" t="s">
        <v>54</v>
      </c>
      <c r="D84" t="s">
        <v>55</v>
      </c>
      <c r="E84" t="s">
        <v>49</v>
      </c>
      <c r="F84" t="s">
        <v>50</v>
      </c>
      <c r="G84" t="s">
        <v>36</v>
      </c>
      <c r="H84">
        <v>765</v>
      </c>
      <c r="I84">
        <v>87</v>
      </c>
      <c r="J84">
        <v>87</v>
      </c>
      <c r="K84">
        <v>0</v>
      </c>
      <c r="L84">
        <v>0</v>
      </c>
      <c r="M84">
        <v>0</v>
      </c>
      <c r="Q84">
        <v>10000</v>
      </c>
      <c r="R84" t="s">
        <v>37</v>
      </c>
      <c r="S84">
        <v>0</v>
      </c>
      <c r="T84" t="s">
        <v>53</v>
      </c>
      <c r="U84">
        <v>1</v>
      </c>
      <c r="V84">
        <v>1</v>
      </c>
      <c r="W84" t="b">
        <v>0</v>
      </c>
      <c r="X84">
        <v>8</v>
      </c>
      <c r="Y84">
        <v>10000</v>
      </c>
      <c r="Z84">
        <v>10000</v>
      </c>
      <c r="AA84">
        <v>10000</v>
      </c>
    </row>
    <row r="85" spans="1:27" x14ac:dyDescent="0.2">
      <c r="A85" t="s">
        <v>51</v>
      </c>
      <c r="B85" t="s">
        <v>52</v>
      </c>
      <c r="C85" t="s">
        <v>54</v>
      </c>
      <c r="D85" t="s">
        <v>55</v>
      </c>
      <c r="E85" t="s">
        <v>49</v>
      </c>
      <c r="F85" t="s">
        <v>50</v>
      </c>
      <c r="G85" t="s">
        <v>38</v>
      </c>
      <c r="H85">
        <v>765</v>
      </c>
      <c r="I85">
        <v>0.112748854331004</v>
      </c>
      <c r="J85">
        <v>0.112947937795807</v>
      </c>
      <c r="K85">
        <v>-1.9908346480354501E-4</v>
      </c>
      <c r="L85">
        <v>-1.9908696413040099E-4</v>
      </c>
      <c r="M85">
        <v>-1.9908696413040099E-4</v>
      </c>
      <c r="Q85">
        <v>10000</v>
      </c>
      <c r="R85" t="s">
        <v>31</v>
      </c>
      <c r="S85">
        <v>-1.9908346480354501E-4</v>
      </c>
      <c r="T85" t="s">
        <v>54</v>
      </c>
      <c r="U85">
        <v>0.99150084991500798</v>
      </c>
      <c r="V85">
        <v>1</v>
      </c>
      <c r="W85" t="b">
        <v>0</v>
      </c>
      <c r="X85">
        <v>8</v>
      </c>
      <c r="Y85">
        <v>9915</v>
      </c>
      <c r="Z85">
        <v>10000</v>
      </c>
      <c r="AA85">
        <v>10000</v>
      </c>
    </row>
    <row r="86" spans="1:27" x14ac:dyDescent="0.2">
      <c r="A86" t="s">
        <v>51</v>
      </c>
      <c r="B86" t="s">
        <v>52</v>
      </c>
      <c r="C86" t="s">
        <v>54</v>
      </c>
      <c r="D86" t="s">
        <v>55</v>
      </c>
      <c r="E86" t="s">
        <v>49</v>
      </c>
      <c r="F86" t="s">
        <v>50</v>
      </c>
      <c r="G86" t="s">
        <v>39</v>
      </c>
      <c r="H86">
        <v>765</v>
      </c>
      <c r="I86">
        <v>0.49740616417454903</v>
      </c>
      <c r="J86">
        <v>0.49610924626182401</v>
      </c>
      <c r="K86">
        <v>1.2969179127250701E-3</v>
      </c>
      <c r="L86">
        <v>1.29690766334533E-3</v>
      </c>
      <c r="M86">
        <v>1.29690766334533E-3</v>
      </c>
      <c r="Q86">
        <v>10000</v>
      </c>
      <c r="R86" t="s">
        <v>31</v>
      </c>
      <c r="S86">
        <v>1.2969179127250701E-3</v>
      </c>
      <c r="T86" t="s">
        <v>51</v>
      </c>
      <c r="U86">
        <v>0.98300169983001695</v>
      </c>
      <c r="V86">
        <v>1</v>
      </c>
      <c r="W86" t="b">
        <v>0</v>
      </c>
      <c r="X86">
        <v>8</v>
      </c>
      <c r="Y86">
        <v>9830</v>
      </c>
      <c r="Z86">
        <v>10000</v>
      </c>
      <c r="AA86">
        <v>10000</v>
      </c>
    </row>
    <row r="87" spans="1:27" x14ac:dyDescent="0.2">
      <c r="A87" t="s">
        <v>51</v>
      </c>
      <c r="B87" t="s">
        <v>52</v>
      </c>
      <c r="C87" t="s">
        <v>56</v>
      </c>
      <c r="D87" t="s">
        <v>57</v>
      </c>
      <c r="E87" t="s">
        <v>28</v>
      </c>
      <c r="F87" t="s">
        <v>29</v>
      </c>
      <c r="G87" t="s">
        <v>30</v>
      </c>
      <c r="H87">
        <v>3156</v>
      </c>
      <c r="I87">
        <v>0.5</v>
      </c>
      <c r="J87">
        <v>0.58577554227633899</v>
      </c>
      <c r="K87">
        <v>-8.5775542276339795E-2</v>
      </c>
      <c r="L87">
        <v>-9.8656709492206507E-2</v>
      </c>
      <c r="M87">
        <v>-7.3349891602993003E-2</v>
      </c>
      <c r="Q87">
        <v>10000</v>
      </c>
      <c r="R87" t="s">
        <v>31</v>
      </c>
      <c r="S87">
        <v>-8.5775542276339795E-2</v>
      </c>
      <c r="T87" t="s">
        <v>56</v>
      </c>
      <c r="U87" s="1">
        <v>9.9990000999900002E-5</v>
      </c>
      <c r="V87">
        <v>7.9992000799920002E-4</v>
      </c>
      <c r="W87" t="b">
        <v>1</v>
      </c>
      <c r="X87">
        <v>8</v>
      </c>
      <c r="Y87">
        <v>0</v>
      </c>
      <c r="Z87">
        <v>10000</v>
      </c>
      <c r="AA87">
        <v>10000</v>
      </c>
    </row>
    <row r="88" spans="1:27" x14ac:dyDescent="0.2">
      <c r="A88" t="s">
        <v>51</v>
      </c>
      <c r="B88" t="s">
        <v>52</v>
      </c>
      <c r="C88" t="s">
        <v>56</v>
      </c>
      <c r="D88" t="s">
        <v>57</v>
      </c>
      <c r="E88" t="s">
        <v>28</v>
      </c>
      <c r="F88" t="s">
        <v>29</v>
      </c>
      <c r="G88" t="s">
        <v>32</v>
      </c>
      <c r="H88">
        <v>3156</v>
      </c>
      <c r="J88">
        <v>0.303112257443857</v>
      </c>
      <c r="Q88">
        <v>0</v>
      </c>
      <c r="R88" t="s">
        <v>31</v>
      </c>
      <c r="T88" t="s">
        <v>53</v>
      </c>
      <c r="U88" s="1">
        <v>9.9990000999900002E-5</v>
      </c>
      <c r="V88">
        <v>7.9992000799920002E-4</v>
      </c>
      <c r="W88" t="b">
        <v>1</v>
      </c>
      <c r="X88">
        <v>8</v>
      </c>
      <c r="Y88">
        <v>0</v>
      </c>
      <c r="Z88">
        <v>10000</v>
      </c>
      <c r="AA88">
        <v>10000</v>
      </c>
    </row>
    <row r="89" spans="1:27" x14ac:dyDescent="0.2">
      <c r="A89" t="s">
        <v>51</v>
      </c>
      <c r="B89" t="s">
        <v>52</v>
      </c>
      <c r="C89" t="s">
        <v>56</v>
      </c>
      <c r="D89" t="s">
        <v>57</v>
      </c>
      <c r="E89" t="s">
        <v>28</v>
      </c>
      <c r="F89" t="s">
        <v>29</v>
      </c>
      <c r="G89" t="s">
        <v>33</v>
      </c>
      <c r="H89">
        <v>3156</v>
      </c>
      <c r="J89">
        <v>0.31040268456375802</v>
      </c>
      <c r="Q89">
        <v>0</v>
      </c>
      <c r="R89" t="s">
        <v>31</v>
      </c>
      <c r="T89" t="s">
        <v>53</v>
      </c>
      <c r="U89" s="1">
        <v>9.9990000999900002E-5</v>
      </c>
      <c r="V89">
        <v>7.9992000799920002E-4</v>
      </c>
      <c r="W89" t="b">
        <v>1</v>
      </c>
      <c r="X89">
        <v>8</v>
      </c>
      <c r="Y89">
        <v>0</v>
      </c>
      <c r="Z89">
        <v>10000</v>
      </c>
      <c r="AA89">
        <v>10000</v>
      </c>
    </row>
    <row r="90" spans="1:27" x14ac:dyDescent="0.2">
      <c r="A90" t="s">
        <v>51</v>
      </c>
      <c r="B90" t="s">
        <v>52</v>
      </c>
      <c r="C90" t="s">
        <v>56</v>
      </c>
      <c r="D90" t="s">
        <v>57</v>
      </c>
      <c r="E90" t="s">
        <v>28</v>
      </c>
      <c r="F90" t="s">
        <v>29</v>
      </c>
      <c r="G90" t="s">
        <v>34</v>
      </c>
      <c r="H90">
        <v>3156</v>
      </c>
      <c r="J90">
        <v>0.80086580086579995</v>
      </c>
      <c r="Q90">
        <v>0</v>
      </c>
      <c r="R90" t="s">
        <v>31</v>
      </c>
      <c r="T90" t="s">
        <v>53</v>
      </c>
      <c r="U90" s="1">
        <v>9.9990000999900002E-5</v>
      </c>
      <c r="V90">
        <v>7.9992000799920002E-4</v>
      </c>
      <c r="W90" t="b">
        <v>1</v>
      </c>
      <c r="X90">
        <v>8</v>
      </c>
      <c r="Y90">
        <v>0</v>
      </c>
      <c r="Z90">
        <v>10000</v>
      </c>
      <c r="AA90">
        <v>10000</v>
      </c>
    </row>
    <row r="91" spans="1:27" x14ac:dyDescent="0.2">
      <c r="A91" t="s">
        <v>51</v>
      </c>
      <c r="B91" t="s">
        <v>52</v>
      </c>
      <c r="C91" t="s">
        <v>56</v>
      </c>
      <c r="D91" t="s">
        <v>57</v>
      </c>
      <c r="E91" t="s">
        <v>28</v>
      </c>
      <c r="F91" t="s">
        <v>29</v>
      </c>
      <c r="G91" t="s">
        <v>35</v>
      </c>
      <c r="H91">
        <v>3156</v>
      </c>
      <c r="I91">
        <v>0</v>
      </c>
      <c r="J91">
        <v>0.19250780437044701</v>
      </c>
      <c r="K91">
        <v>-0.19250780437044701</v>
      </c>
      <c r="L91">
        <v>-0.21748179197311401</v>
      </c>
      <c r="M91">
        <v>-0.16857440769672299</v>
      </c>
      <c r="Q91">
        <v>10000</v>
      </c>
      <c r="R91" t="s">
        <v>31</v>
      </c>
      <c r="S91">
        <v>-0.19250780437044701</v>
      </c>
      <c r="T91" t="s">
        <v>56</v>
      </c>
      <c r="U91" s="1">
        <v>9.9990000999900002E-5</v>
      </c>
      <c r="V91">
        <v>7.9992000799920002E-4</v>
      </c>
      <c r="W91" t="b">
        <v>1</v>
      </c>
      <c r="X91">
        <v>8</v>
      </c>
      <c r="Y91">
        <v>0</v>
      </c>
      <c r="Z91">
        <v>10000</v>
      </c>
      <c r="AA91">
        <v>10000</v>
      </c>
    </row>
    <row r="92" spans="1:27" x14ac:dyDescent="0.2">
      <c r="A92" t="s">
        <v>51</v>
      </c>
      <c r="B92" t="s">
        <v>52</v>
      </c>
      <c r="C92" t="s">
        <v>56</v>
      </c>
      <c r="D92" t="s">
        <v>57</v>
      </c>
      <c r="E92" t="s">
        <v>28</v>
      </c>
      <c r="F92" t="s">
        <v>29</v>
      </c>
      <c r="G92" t="s">
        <v>36</v>
      </c>
      <c r="H92">
        <v>3156</v>
      </c>
      <c r="I92">
        <v>961</v>
      </c>
      <c r="J92">
        <v>776</v>
      </c>
      <c r="K92">
        <v>185</v>
      </c>
      <c r="L92">
        <v>162</v>
      </c>
      <c r="M92">
        <v>209</v>
      </c>
      <c r="Q92">
        <v>10000</v>
      </c>
      <c r="R92" t="s">
        <v>37</v>
      </c>
      <c r="S92">
        <v>-185</v>
      </c>
      <c r="T92" t="s">
        <v>56</v>
      </c>
      <c r="U92" s="1">
        <v>9.9990000999900002E-5</v>
      </c>
      <c r="V92">
        <v>7.9992000799920002E-4</v>
      </c>
      <c r="W92" t="b">
        <v>1</v>
      </c>
      <c r="X92">
        <v>8</v>
      </c>
      <c r="Y92">
        <v>0</v>
      </c>
      <c r="Z92">
        <v>10000</v>
      </c>
      <c r="AA92">
        <v>10000</v>
      </c>
    </row>
    <row r="93" spans="1:27" x14ac:dyDescent="0.2">
      <c r="A93" t="s">
        <v>51</v>
      </c>
      <c r="B93" t="s">
        <v>52</v>
      </c>
      <c r="C93" t="s">
        <v>56</v>
      </c>
      <c r="D93" t="s">
        <v>57</v>
      </c>
      <c r="E93" t="s">
        <v>28</v>
      </c>
      <c r="F93" t="s">
        <v>29</v>
      </c>
      <c r="G93" t="s">
        <v>38</v>
      </c>
      <c r="H93">
        <v>3156</v>
      </c>
      <c r="I93">
        <v>0.30445178611650098</v>
      </c>
      <c r="J93">
        <v>0.60880440099081201</v>
      </c>
      <c r="K93">
        <v>-0.30435261487430998</v>
      </c>
      <c r="L93">
        <v>-0.33354623168706798</v>
      </c>
      <c r="M93">
        <v>-0.27663402259349801</v>
      </c>
      <c r="Q93">
        <v>10000</v>
      </c>
      <c r="R93" t="s">
        <v>31</v>
      </c>
      <c r="S93">
        <v>-0.30435261487430998</v>
      </c>
      <c r="T93" t="s">
        <v>56</v>
      </c>
      <c r="U93" s="1">
        <v>9.9990000999900002E-5</v>
      </c>
      <c r="V93">
        <v>7.9992000799920002E-4</v>
      </c>
      <c r="W93" t="b">
        <v>1</v>
      </c>
      <c r="X93">
        <v>8</v>
      </c>
      <c r="Y93">
        <v>0</v>
      </c>
      <c r="Z93">
        <v>10000</v>
      </c>
      <c r="AA93">
        <v>10000</v>
      </c>
    </row>
    <row r="94" spans="1:27" x14ac:dyDescent="0.2">
      <c r="A94" t="s">
        <v>51</v>
      </c>
      <c r="B94" t="s">
        <v>52</v>
      </c>
      <c r="C94" t="s">
        <v>56</v>
      </c>
      <c r="D94" t="s">
        <v>57</v>
      </c>
      <c r="E94" t="s">
        <v>28</v>
      </c>
      <c r="F94" t="s">
        <v>29</v>
      </c>
      <c r="G94" t="s">
        <v>39</v>
      </c>
      <c r="H94">
        <v>3156</v>
      </c>
      <c r="I94">
        <v>0.5</v>
      </c>
      <c r="J94">
        <v>0.75766890506519602</v>
      </c>
      <c r="K94">
        <v>-0.25766890506519602</v>
      </c>
      <c r="L94">
        <v>-0.276069213449955</v>
      </c>
      <c r="M94">
        <v>-0.23890831619501099</v>
      </c>
      <c r="Q94">
        <v>10000</v>
      </c>
      <c r="R94" t="s">
        <v>31</v>
      </c>
      <c r="S94">
        <v>-0.25766890506519602</v>
      </c>
      <c r="T94" t="s">
        <v>56</v>
      </c>
      <c r="U94" s="1">
        <v>9.9990000999900002E-5</v>
      </c>
      <c r="V94">
        <v>7.9992000799920002E-4</v>
      </c>
      <c r="W94" t="b">
        <v>1</v>
      </c>
      <c r="X94">
        <v>8</v>
      </c>
      <c r="Y94">
        <v>0</v>
      </c>
      <c r="Z94">
        <v>10000</v>
      </c>
      <c r="AA94">
        <v>10000</v>
      </c>
    </row>
    <row r="95" spans="1:27" x14ac:dyDescent="0.2">
      <c r="A95" t="s">
        <v>51</v>
      </c>
      <c r="B95" t="s">
        <v>52</v>
      </c>
      <c r="C95" t="s">
        <v>56</v>
      </c>
      <c r="D95" t="s">
        <v>57</v>
      </c>
      <c r="E95" t="s">
        <v>40</v>
      </c>
      <c r="F95" t="s">
        <v>41</v>
      </c>
      <c r="G95" t="s">
        <v>30</v>
      </c>
      <c r="H95">
        <v>2391</v>
      </c>
      <c r="I95">
        <v>0.5</v>
      </c>
      <c r="J95">
        <v>0.576962615906077</v>
      </c>
      <c r="K95">
        <v>-7.6962615906077406E-2</v>
      </c>
      <c r="L95">
        <v>-9.0450108051299993E-2</v>
      </c>
      <c r="M95">
        <v>-6.4182476699352203E-2</v>
      </c>
      <c r="Q95">
        <v>10000</v>
      </c>
      <c r="R95" t="s">
        <v>31</v>
      </c>
      <c r="S95">
        <v>-7.6962615906077406E-2</v>
      </c>
      <c r="T95" t="s">
        <v>56</v>
      </c>
      <c r="U95" s="1">
        <v>9.9990000999900002E-5</v>
      </c>
      <c r="V95">
        <v>7.9992000799920002E-4</v>
      </c>
      <c r="W95" t="b">
        <v>1</v>
      </c>
      <c r="X95">
        <v>8</v>
      </c>
      <c r="Y95">
        <v>0</v>
      </c>
      <c r="Z95">
        <v>10000</v>
      </c>
      <c r="AA95">
        <v>10000</v>
      </c>
    </row>
    <row r="96" spans="1:27" x14ac:dyDescent="0.2">
      <c r="A96" t="s">
        <v>51</v>
      </c>
      <c r="B96" t="s">
        <v>52</v>
      </c>
      <c r="C96" t="s">
        <v>56</v>
      </c>
      <c r="D96" t="s">
        <v>57</v>
      </c>
      <c r="E96" t="s">
        <v>40</v>
      </c>
      <c r="F96" t="s">
        <v>41</v>
      </c>
      <c r="G96" t="s">
        <v>32</v>
      </c>
      <c r="H96">
        <v>2391</v>
      </c>
      <c r="J96">
        <v>0.27021722212664101</v>
      </c>
      <c r="Q96">
        <v>0</v>
      </c>
      <c r="R96" t="s">
        <v>31</v>
      </c>
      <c r="T96" t="s">
        <v>53</v>
      </c>
      <c r="U96" s="1">
        <v>9.9990000999900002E-5</v>
      </c>
      <c r="V96">
        <v>7.9992000799920002E-4</v>
      </c>
      <c r="W96" t="b">
        <v>1</v>
      </c>
      <c r="X96">
        <v>8</v>
      </c>
      <c r="Y96">
        <v>0</v>
      </c>
      <c r="Z96">
        <v>10000</v>
      </c>
      <c r="AA96">
        <v>10000</v>
      </c>
    </row>
    <row r="97" spans="1:27" x14ac:dyDescent="0.2">
      <c r="A97" t="s">
        <v>51</v>
      </c>
      <c r="B97" t="s">
        <v>52</v>
      </c>
      <c r="C97" t="s">
        <v>56</v>
      </c>
      <c r="D97" t="s">
        <v>57</v>
      </c>
      <c r="E97" t="s">
        <v>40</v>
      </c>
      <c r="F97" t="s">
        <v>41</v>
      </c>
      <c r="G97" t="s">
        <v>33</v>
      </c>
      <c r="H97">
        <v>2391</v>
      </c>
      <c r="J97">
        <v>0.293457943925233</v>
      </c>
      <c r="Q97">
        <v>0</v>
      </c>
      <c r="R97" t="s">
        <v>31</v>
      </c>
      <c r="T97" t="s">
        <v>53</v>
      </c>
      <c r="U97" s="1">
        <v>9.9990000999900002E-5</v>
      </c>
      <c r="V97">
        <v>7.9992000799920002E-4</v>
      </c>
      <c r="W97" t="b">
        <v>1</v>
      </c>
      <c r="X97">
        <v>8</v>
      </c>
      <c r="Y97">
        <v>0</v>
      </c>
      <c r="Z97">
        <v>10000</v>
      </c>
      <c r="AA97">
        <v>10000</v>
      </c>
    </row>
    <row r="98" spans="1:27" x14ac:dyDescent="0.2">
      <c r="A98" t="s">
        <v>51</v>
      </c>
      <c r="B98" t="s">
        <v>52</v>
      </c>
      <c r="C98" t="s">
        <v>56</v>
      </c>
      <c r="D98" t="s">
        <v>57</v>
      </c>
      <c r="E98" t="s">
        <v>40</v>
      </c>
      <c r="F98" t="s">
        <v>41</v>
      </c>
      <c r="G98" t="s">
        <v>34</v>
      </c>
      <c r="H98">
        <v>2391</v>
      </c>
      <c r="J98">
        <v>0.80102040816326503</v>
      </c>
      <c r="Q98">
        <v>0</v>
      </c>
      <c r="R98" t="s">
        <v>31</v>
      </c>
      <c r="T98" t="s">
        <v>53</v>
      </c>
      <c r="U98" s="1">
        <v>9.9990000999900002E-5</v>
      </c>
      <c r="V98">
        <v>7.9992000799920002E-4</v>
      </c>
      <c r="W98" t="b">
        <v>1</v>
      </c>
      <c r="X98">
        <v>8</v>
      </c>
      <c r="Y98">
        <v>0</v>
      </c>
      <c r="Z98">
        <v>10000</v>
      </c>
      <c r="AA98">
        <v>10000</v>
      </c>
    </row>
    <row r="99" spans="1:27" x14ac:dyDescent="0.2">
      <c r="A99" t="s">
        <v>51</v>
      </c>
      <c r="B99" t="s">
        <v>52</v>
      </c>
      <c r="C99" t="s">
        <v>56</v>
      </c>
      <c r="D99" t="s">
        <v>57</v>
      </c>
      <c r="E99" t="s">
        <v>40</v>
      </c>
      <c r="F99" t="s">
        <v>41</v>
      </c>
      <c r="G99" t="s">
        <v>35</v>
      </c>
      <c r="H99">
        <v>2391</v>
      </c>
      <c r="I99">
        <v>0</v>
      </c>
      <c r="J99">
        <v>0.17963386727688699</v>
      </c>
      <c r="K99">
        <v>-0.17963386727688699</v>
      </c>
      <c r="L99">
        <v>-0.204805493354797</v>
      </c>
      <c r="M99">
        <v>-0.155606403946876</v>
      </c>
      <c r="Q99">
        <v>10000</v>
      </c>
      <c r="R99" t="s">
        <v>31</v>
      </c>
      <c r="S99">
        <v>-0.17963386727688699</v>
      </c>
      <c r="T99" t="s">
        <v>56</v>
      </c>
      <c r="U99" s="1">
        <v>9.9990000999900002E-5</v>
      </c>
      <c r="V99">
        <v>7.9992000799920002E-4</v>
      </c>
      <c r="W99" t="b">
        <v>1</v>
      </c>
      <c r="X99">
        <v>8</v>
      </c>
      <c r="Y99">
        <v>0</v>
      </c>
      <c r="Z99">
        <v>10000</v>
      </c>
      <c r="AA99">
        <v>10000</v>
      </c>
    </row>
    <row r="100" spans="1:27" x14ac:dyDescent="0.2">
      <c r="A100" t="s">
        <v>51</v>
      </c>
      <c r="B100" t="s">
        <v>52</v>
      </c>
      <c r="C100" t="s">
        <v>56</v>
      </c>
      <c r="D100" t="s">
        <v>57</v>
      </c>
      <c r="E100" t="s">
        <v>40</v>
      </c>
      <c r="F100" t="s">
        <v>41</v>
      </c>
      <c r="G100" t="s">
        <v>36</v>
      </c>
      <c r="H100">
        <v>2391</v>
      </c>
      <c r="I100">
        <v>874</v>
      </c>
      <c r="J100">
        <v>717</v>
      </c>
      <c r="K100">
        <v>157</v>
      </c>
      <c r="L100">
        <v>136</v>
      </c>
      <c r="M100">
        <v>179</v>
      </c>
      <c r="Q100">
        <v>10000</v>
      </c>
      <c r="R100" t="s">
        <v>37</v>
      </c>
      <c r="S100">
        <v>-157</v>
      </c>
      <c r="T100" t="s">
        <v>56</v>
      </c>
      <c r="U100" s="1">
        <v>9.9990000999900002E-5</v>
      </c>
      <c r="V100">
        <v>7.9992000799920002E-4</v>
      </c>
      <c r="W100" t="b">
        <v>1</v>
      </c>
      <c r="X100">
        <v>8</v>
      </c>
      <c r="Y100">
        <v>0</v>
      </c>
      <c r="Z100">
        <v>10000</v>
      </c>
      <c r="AA100">
        <v>10000</v>
      </c>
    </row>
    <row r="101" spans="1:27" x14ac:dyDescent="0.2">
      <c r="A101" t="s">
        <v>51</v>
      </c>
      <c r="B101" t="s">
        <v>52</v>
      </c>
      <c r="C101" t="s">
        <v>56</v>
      </c>
      <c r="D101" t="s">
        <v>57</v>
      </c>
      <c r="E101" t="s">
        <v>40</v>
      </c>
      <c r="F101" t="s">
        <v>41</v>
      </c>
      <c r="G101" t="s">
        <v>38</v>
      </c>
      <c r="H101">
        <v>2391</v>
      </c>
      <c r="I101">
        <v>0.36580113090011601</v>
      </c>
      <c r="J101">
        <v>0.63230042538498099</v>
      </c>
      <c r="K101">
        <v>-0.26649929448486398</v>
      </c>
      <c r="L101">
        <v>-0.29706321060657498</v>
      </c>
      <c r="M101">
        <v>-0.23804611414670901</v>
      </c>
      <c r="Q101">
        <v>10000</v>
      </c>
      <c r="R101" t="s">
        <v>31</v>
      </c>
      <c r="S101">
        <v>-0.26649929448486398</v>
      </c>
      <c r="T101" t="s">
        <v>56</v>
      </c>
      <c r="U101" s="1">
        <v>9.9990000999900002E-5</v>
      </c>
      <c r="V101">
        <v>7.9992000799920002E-4</v>
      </c>
      <c r="W101" t="b">
        <v>1</v>
      </c>
      <c r="X101">
        <v>8</v>
      </c>
      <c r="Y101">
        <v>0</v>
      </c>
      <c r="Z101">
        <v>10000</v>
      </c>
      <c r="AA101">
        <v>10000</v>
      </c>
    </row>
    <row r="102" spans="1:27" x14ac:dyDescent="0.2">
      <c r="A102" t="s">
        <v>51</v>
      </c>
      <c r="B102" t="s">
        <v>52</v>
      </c>
      <c r="C102" t="s">
        <v>56</v>
      </c>
      <c r="D102" t="s">
        <v>57</v>
      </c>
      <c r="E102" t="s">
        <v>40</v>
      </c>
      <c r="F102" t="s">
        <v>41</v>
      </c>
      <c r="G102" t="s">
        <v>39</v>
      </c>
      <c r="H102">
        <v>2391</v>
      </c>
      <c r="I102">
        <v>0.50036089837674902</v>
      </c>
      <c r="J102">
        <v>0.73373317504589397</v>
      </c>
      <c r="K102">
        <v>-0.23337227666914501</v>
      </c>
      <c r="L102">
        <v>-0.25400729477405498</v>
      </c>
      <c r="M102">
        <v>-0.21249049007892601</v>
      </c>
      <c r="Q102">
        <v>10000</v>
      </c>
      <c r="R102" t="s">
        <v>31</v>
      </c>
      <c r="S102">
        <v>-0.23337227666914501</v>
      </c>
      <c r="T102" t="s">
        <v>56</v>
      </c>
      <c r="U102" s="1">
        <v>9.9990000999900002E-5</v>
      </c>
      <c r="V102">
        <v>7.9992000799920002E-4</v>
      </c>
      <c r="W102" t="b">
        <v>1</v>
      </c>
      <c r="X102">
        <v>8</v>
      </c>
      <c r="Y102">
        <v>0</v>
      </c>
      <c r="Z102">
        <v>10000</v>
      </c>
      <c r="AA102">
        <v>10000</v>
      </c>
    </row>
    <row r="103" spans="1:27" x14ac:dyDescent="0.2">
      <c r="A103" t="s">
        <v>51</v>
      </c>
      <c r="B103" t="s">
        <v>52</v>
      </c>
      <c r="C103" t="s">
        <v>56</v>
      </c>
      <c r="D103" t="s">
        <v>57</v>
      </c>
      <c r="E103" t="s">
        <v>42</v>
      </c>
      <c r="F103" t="s">
        <v>43</v>
      </c>
      <c r="G103" t="s">
        <v>44</v>
      </c>
      <c r="H103">
        <v>765</v>
      </c>
      <c r="I103">
        <v>0.57909069161433602</v>
      </c>
      <c r="J103">
        <v>0.355571580032011</v>
      </c>
      <c r="K103">
        <v>0.22351911158232499</v>
      </c>
      <c r="L103">
        <v>0.195798227936029</v>
      </c>
      <c r="M103">
        <v>0.251640603691339</v>
      </c>
      <c r="Q103">
        <v>10000</v>
      </c>
      <c r="R103" t="s">
        <v>37</v>
      </c>
      <c r="S103">
        <v>-0.22351911158232499</v>
      </c>
      <c r="T103" t="s">
        <v>56</v>
      </c>
      <c r="U103" s="1">
        <v>9.9990000999900002E-5</v>
      </c>
      <c r="V103">
        <v>4.9995000499950004E-4</v>
      </c>
      <c r="W103" t="b">
        <v>1</v>
      </c>
      <c r="X103">
        <v>5</v>
      </c>
      <c r="Y103">
        <v>0</v>
      </c>
      <c r="Z103">
        <v>10000</v>
      </c>
      <c r="AA103">
        <v>10000</v>
      </c>
    </row>
    <row r="104" spans="1:27" x14ac:dyDescent="0.2">
      <c r="A104" t="s">
        <v>51</v>
      </c>
      <c r="B104" t="s">
        <v>52</v>
      </c>
      <c r="C104" t="s">
        <v>56</v>
      </c>
      <c r="D104" t="s">
        <v>57</v>
      </c>
      <c r="E104" t="s">
        <v>42</v>
      </c>
      <c r="F104" t="s">
        <v>43</v>
      </c>
      <c r="G104" t="s">
        <v>45</v>
      </c>
      <c r="H104">
        <v>765</v>
      </c>
      <c r="I104">
        <v>0.54462571147849104</v>
      </c>
      <c r="J104">
        <v>0.23346668149644201</v>
      </c>
      <c r="K104">
        <v>0.31115902998204897</v>
      </c>
      <c r="L104">
        <v>0.27133398801088299</v>
      </c>
      <c r="M104">
        <v>0.35324249006807801</v>
      </c>
      <c r="Q104">
        <v>10000</v>
      </c>
      <c r="R104" t="s">
        <v>37</v>
      </c>
      <c r="S104">
        <v>-0.31115902998204897</v>
      </c>
      <c r="T104" t="s">
        <v>56</v>
      </c>
      <c r="U104" s="1">
        <v>9.9990000999900002E-5</v>
      </c>
      <c r="V104">
        <v>4.9995000499950004E-4</v>
      </c>
      <c r="W104" t="b">
        <v>1</v>
      </c>
      <c r="X104">
        <v>5</v>
      </c>
      <c r="Y104">
        <v>0</v>
      </c>
      <c r="Z104">
        <v>10000</v>
      </c>
      <c r="AA104">
        <v>10000</v>
      </c>
    </row>
    <row r="105" spans="1:27" x14ac:dyDescent="0.2">
      <c r="A105" t="s">
        <v>51</v>
      </c>
      <c r="B105" t="s">
        <v>52</v>
      </c>
      <c r="C105" t="s">
        <v>56</v>
      </c>
      <c r="D105" t="s">
        <v>57</v>
      </c>
      <c r="E105" t="s">
        <v>42</v>
      </c>
      <c r="F105" t="s">
        <v>43</v>
      </c>
      <c r="G105" t="s">
        <v>46</v>
      </c>
      <c r="H105">
        <v>765</v>
      </c>
      <c r="I105">
        <v>1.3807999023364099</v>
      </c>
      <c r="J105">
        <v>0.66173935711008003</v>
      </c>
      <c r="K105">
        <v>0.719060545226332</v>
      </c>
      <c r="L105">
        <v>0.64108910262584595</v>
      </c>
      <c r="M105">
        <v>0.79902298301458297</v>
      </c>
      <c r="Q105">
        <v>10000</v>
      </c>
      <c r="R105" t="s">
        <v>37</v>
      </c>
      <c r="S105">
        <v>-0.719060545226332</v>
      </c>
      <c r="T105" t="s">
        <v>56</v>
      </c>
      <c r="U105" s="1">
        <v>9.9990000999900002E-5</v>
      </c>
      <c r="V105">
        <v>4.9995000499950004E-4</v>
      </c>
      <c r="W105" t="b">
        <v>1</v>
      </c>
      <c r="X105">
        <v>5</v>
      </c>
      <c r="Y105">
        <v>0</v>
      </c>
      <c r="Z105">
        <v>10000</v>
      </c>
      <c r="AA105">
        <v>10000</v>
      </c>
    </row>
    <row r="106" spans="1:27" x14ac:dyDescent="0.2">
      <c r="A106" t="s">
        <v>51</v>
      </c>
      <c r="B106" t="s">
        <v>52</v>
      </c>
      <c r="C106" t="s">
        <v>56</v>
      </c>
      <c r="D106" t="s">
        <v>57</v>
      </c>
      <c r="E106" t="s">
        <v>42</v>
      </c>
      <c r="F106" t="s">
        <v>43</v>
      </c>
      <c r="G106" t="s">
        <v>47</v>
      </c>
      <c r="H106">
        <v>765</v>
      </c>
      <c r="I106">
        <v>-1.8772044829888899E-2</v>
      </c>
      <c r="J106">
        <v>0.755901042254575</v>
      </c>
      <c r="K106">
        <v>-0.77467308708446303</v>
      </c>
      <c r="L106">
        <v>-0.83948093308135796</v>
      </c>
      <c r="M106">
        <v>-0.712159476766828</v>
      </c>
      <c r="Q106">
        <v>10000</v>
      </c>
      <c r="R106" t="s">
        <v>31</v>
      </c>
      <c r="S106">
        <v>-0.77467308708446303</v>
      </c>
      <c r="T106" t="s">
        <v>56</v>
      </c>
      <c r="U106" s="1">
        <v>9.9990000999900002E-5</v>
      </c>
      <c r="V106">
        <v>4.9995000499950004E-4</v>
      </c>
      <c r="W106" t="b">
        <v>1</v>
      </c>
      <c r="X106">
        <v>5</v>
      </c>
      <c r="Y106">
        <v>0</v>
      </c>
      <c r="Z106">
        <v>10000</v>
      </c>
      <c r="AA106">
        <v>10000</v>
      </c>
    </row>
    <row r="107" spans="1:27" x14ac:dyDescent="0.2">
      <c r="A107" t="s">
        <v>51</v>
      </c>
      <c r="B107" t="s">
        <v>52</v>
      </c>
      <c r="C107" t="s">
        <v>56</v>
      </c>
      <c r="D107" t="s">
        <v>57</v>
      </c>
      <c r="E107" t="s">
        <v>42</v>
      </c>
      <c r="F107" t="s">
        <v>43</v>
      </c>
      <c r="G107" t="s">
        <v>48</v>
      </c>
      <c r="H107">
        <v>765</v>
      </c>
      <c r="I107">
        <v>-1.9821918774121E-4</v>
      </c>
      <c r="J107">
        <v>0.57124139725519496</v>
      </c>
      <c r="K107">
        <v>-0.57143961644293595</v>
      </c>
      <c r="L107">
        <v>-0.62365191487042404</v>
      </c>
      <c r="M107">
        <v>-0.51587556696904302</v>
      </c>
      <c r="Q107">
        <v>10000</v>
      </c>
      <c r="R107" t="s">
        <v>31</v>
      </c>
      <c r="S107">
        <v>-0.57143961644293595</v>
      </c>
      <c r="T107" t="s">
        <v>56</v>
      </c>
      <c r="U107" s="1">
        <v>9.9990000999900002E-5</v>
      </c>
      <c r="V107">
        <v>4.9995000499950004E-4</v>
      </c>
      <c r="W107" t="b">
        <v>1</v>
      </c>
      <c r="X107">
        <v>5</v>
      </c>
      <c r="Y107">
        <v>0</v>
      </c>
      <c r="Z107">
        <v>10000</v>
      </c>
      <c r="AA107">
        <v>10000</v>
      </c>
    </row>
    <row r="108" spans="1:27" x14ac:dyDescent="0.2">
      <c r="A108" t="s">
        <v>51</v>
      </c>
      <c r="B108" t="s">
        <v>52</v>
      </c>
      <c r="C108" t="s">
        <v>56</v>
      </c>
      <c r="D108" t="s">
        <v>57</v>
      </c>
      <c r="E108" t="s">
        <v>49</v>
      </c>
      <c r="F108" t="s">
        <v>50</v>
      </c>
      <c r="G108" t="s">
        <v>30</v>
      </c>
      <c r="H108">
        <v>765</v>
      </c>
      <c r="I108">
        <v>0.5</v>
      </c>
      <c r="J108">
        <v>0.65575729834197904</v>
      </c>
      <c r="K108">
        <v>-0.15575729834197899</v>
      </c>
      <c r="L108">
        <v>-0.204531610012054</v>
      </c>
      <c r="M108">
        <v>-0.109042823314666</v>
      </c>
      <c r="Q108">
        <v>10000</v>
      </c>
      <c r="R108" t="s">
        <v>31</v>
      </c>
      <c r="S108">
        <v>-0.15575729834197899</v>
      </c>
      <c r="T108" t="s">
        <v>56</v>
      </c>
      <c r="U108" s="1">
        <v>9.9990000999900002E-5</v>
      </c>
      <c r="V108">
        <v>7.9992000799920002E-4</v>
      </c>
      <c r="W108" t="b">
        <v>1</v>
      </c>
      <c r="X108">
        <v>8</v>
      </c>
      <c r="Y108">
        <v>0</v>
      </c>
      <c r="Z108">
        <v>10000</v>
      </c>
      <c r="AA108">
        <v>10000</v>
      </c>
    </row>
    <row r="109" spans="1:27" x14ac:dyDescent="0.2">
      <c r="A109" t="s">
        <v>51</v>
      </c>
      <c r="B109" t="s">
        <v>52</v>
      </c>
      <c r="C109" t="s">
        <v>56</v>
      </c>
      <c r="D109" t="s">
        <v>57</v>
      </c>
      <c r="E109" t="s">
        <v>49</v>
      </c>
      <c r="F109" t="s">
        <v>50</v>
      </c>
      <c r="G109" t="s">
        <v>32</v>
      </c>
      <c r="H109">
        <v>765</v>
      </c>
      <c r="J109">
        <v>0.473322797061282</v>
      </c>
      <c r="Q109">
        <v>0</v>
      </c>
      <c r="R109" t="s">
        <v>31</v>
      </c>
      <c r="T109" t="s">
        <v>53</v>
      </c>
      <c r="U109" s="1">
        <v>9.9990000999900002E-5</v>
      </c>
      <c r="V109">
        <v>7.9992000799920002E-4</v>
      </c>
      <c r="W109" t="b">
        <v>1</v>
      </c>
      <c r="X109">
        <v>8</v>
      </c>
      <c r="Y109">
        <v>0</v>
      </c>
      <c r="Z109">
        <v>10000</v>
      </c>
      <c r="AA109">
        <v>10000</v>
      </c>
    </row>
    <row r="110" spans="1:27" x14ac:dyDescent="0.2">
      <c r="A110" t="s">
        <v>51</v>
      </c>
      <c r="B110" t="s">
        <v>52</v>
      </c>
      <c r="C110" t="s">
        <v>56</v>
      </c>
      <c r="D110" t="s">
        <v>57</v>
      </c>
      <c r="E110" t="s">
        <v>49</v>
      </c>
      <c r="F110" t="s">
        <v>50</v>
      </c>
      <c r="G110" t="s">
        <v>33</v>
      </c>
      <c r="H110">
        <v>765</v>
      </c>
      <c r="J110">
        <v>0.45901639344262202</v>
      </c>
      <c r="Q110">
        <v>0</v>
      </c>
      <c r="R110" t="s">
        <v>31</v>
      </c>
      <c r="T110" t="s">
        <v>53</v>
      </c>
      <c r="U110" s="1">
        <v>9.9990000999900002E-5</v>
      </c>
      <c r="V110">
        <v>7.9992000799920002E-4</v>
      </c>
      <c r="W110" t="b">
        <v>1</v>
      </c>
      <c r="X110">
        <v>8</v>
      </c>
      <c r="Y110">
        <v>0</v>
      </c>
      <c r="Z110">
        <v>10000</v>
      </c>
      <c r="AA110">
        <v>10000</v>
      </c>
    </row>
    <row r="111" spans="1:27" x14ac:dyDescent="0.2">
      <c r="A111" t="s">
        <v>51</v>
      </c>
      <c r="B111" t="s">
        <v>52</v>
      </c>
      <c r="C111" t="s">
        <v>56</v>
      </c>
      <c r="D111" t="s">
        <v>57</v>
      </c>
      <c r="E111" t="s">
        <v>49</v>
      </c>
      <c r="F111" t="s">
        <v>50</v>
      </c>
      <c r="G111" t="s">
        <v>34</v>
      </c>
      <c r="H111">
        <v>765</v>
      </c>
      <c r="J111">
        <v>0.8</v>
      </c>
      <c r="Q111">
        <v>0</v>
      </c>
      <c r="R111" t="s">
        <v>31</v>
      </c>
      <c r="T111" t="s">
        <v>53</v>
      </c>
      <c r="U111" s="1">
        <v>9.9990000999900002E-5</v>
      </c>
      <c r="V111">
        <v>7.9992000799920002E-4</v>
      </c>
      <c r="W111" t="b">
        <v>1</v>
      </c>
      <c r="X111">
        <v>8</v>
      </c>
      <c r="Y111">
        <v>0</v>
      </c>
      <c r="Z111">
        <v>10000</v>
      </c>
      <c r="AA111">
        <v>10000</v>
      </c>
    </row>
    <row r="112" spans="1:27" x14ac:dyDescent="0.2">
      <c r="A112" t="s">
        <v>51</v>
      </c>
      <c r="B112" t="s">
        <v>52</v>
      </c>
      <c r="C112" t="s">
        <v>56</v>
      </c>
      <c r="D112" t="s">
        <v>57</v>
      </c>
      <c r="E112" t="s">
        <v>49</v>
      </c>
      <c r="F112" t="s">
        <v>50</v>
      </c>
      <c r="G112" t="s">
        <v>35</v>
      </c>
      <c r="H112">
        <v>765</v>
      </c>
      <c r="I112">
        <v>0</v>
      </c>
      <c r="J112">
        <v>0.32183908045977</v>
      </c>
      <c r="K112">
        <v>-0.32183908045977</v>
      </c>
      <c r="L112">
        <v>-0.41379311680793701</v>
      </c>
      <c r="M112">
        <v>-0.22988505661487499</v>
      </c>
      <c r="Q112">
        <v>10000</v>
      </c>
      <c r="R112" t="s">
        <v>31</v>
      </c>
      <c r="S112">
        <v>-0.32183908045977</v>
      </c>
      <c r="T112" t="s">
        <v>56</v>
      </c>
      <c r="U112" s="1">
        <v>9.9990000999900002E-5</v>
      </c>
      <c r="V112">
        <v>7.9992000799920002E-4</v>
      </c>
      <c r="W112" t="b">
        <v>1</v>
      </c>
      <c r="X112">
        <v>8</v>
      </c>
      <c r="Y112">
        <v>0</v>
      </c>
      <c r="Z112">
        <v>10000</v>
      </c>
      <c r="AA112">
        <v>10000</v>
      </c>
    </row>
    <row r="113" spans="1:27" x14ac:dyDescent="0.2">
      <c r="A113" t="s">
        <v>51</v>
      </c>
      <c r="B113" t="s">
        <v>52</v>
      </c>
      <c r="C113" t="s">
        <v>56</v>
      </c>
      <c r="D113" t="s">
        <v>57</v>
      </c>
      <c r="E113" t="s">
        <v>49</v>
      </c>
      <c r="F113" t="s">
        <v>50</v>
      </c>
      <c r="G113" t="s">
        <v>36</v>
      </c>
      <c r="H113">
        <v>765</v>
      </c>
      <c r="I113">
        <v>87</v>
      </c>
      <c r="J113">
        <v>59</v>
      </c>
      <c r="K113">
        <v>28</v>
      </c>
      <c r="L113">
        <v>20</v>
      </c>
      <c r="M113">
        <v>36</v>
      </c>
      <c r="Q113">
        <v>10000</v>
      </c>
      <c r="R113" t="s">
        <v>37</v>
      </c>
      <c r="S113">
        <v>-28</v>
      </c>
      <c r="T113" t="s">
        <v>56</v>
      </c>
      <c r="U113" s="1">
        <v>9.9990000999900002E-5</v>
      </c>
      <c r="V113">
        <v>7.9992000799920002E-4</v>
      </c>
      <c r="W113" t="b">
        <v>1</v>
      </c>
      <c r="X113">
        <v>8</v>
      </c>
      <c r="Y113">
        <v>0</v>
      </c>
      <c r="Z113">
        <v>10000</v>
      </c>
      <c r="AA113">
        <v>10000</v>
      </c>
    </row>
    <row r="114" spans="1:27" x14ac:dyDescent="0.2">
      <c r="A114" t="s">
        <v>51</v>
      </c>
      <c r="B114" t="s">
        <v>52</v>
      </c>
      <c r="C114" t="s">
        <v>56</v>
      </c>
      <c r="D114" t="s">
        <v>57</v>
      </c>
      <c r="E114" t="s">
        <v>49</v>
      </c>
      <c r="F114" t="s">
        <v>50</v>
      </c>
      <c r="G114" t="s">
        <v>38</v>
      </c>
      <c r="H114">
        <v>765</v>
      </c>
      <c r="I114">
        <v>0.112748854331004</v>
      </c>
      <c r="J114">
        <v>0.591867036327963</v>
      </c>
      <c r="K114">
        <v>-0.47911818199695899</v>
      </c>
      <c r="L114">
        <v>-0.57097217887639995</v>
      </c>
      <c r="M114">
        <v>-0.39392033815383898</v>
      </c>
      <c r="Q114">
        <v>10000</v>
      </c>
      <c r="R114" t="s">
        <v>31</v>
      </c>
      <c r="S114">
        <v>-0.47911818199695899</v>
      </c>
      <c r="T114" t="s">
        <v>56</v>
      </c>
      <c r="U114" s="1">
        <v>9.9990000999900002E-5</v>
      </c>
      <c r="V114">
        <v>7.9992000799920002E-4</v>
      </c>
      <c r="W114" t="b">
        <v>1</v>
      </c>
      <c r="X114">
        <v>8</v>
      </c>
      <c r="Y114">
        <v>0</v>
      </c>
      <c r="Z114">
        <v>10000</v>
      </c>
      <c r="AA114">
        <v>10000</v>
      </c>
    </row>
    <row r="115" spans="1:27" x14ac:dyDescent="0.2">
      <c r="A115" t="s">
        <v>51</v>
      </c>
      <c r="B115" t="s">
        <v>52</v>
      </c>
      <c r="C115" t="s">
        <v>56</v>
      </c>
      <c r="D115" t="s">
        <v>57</v>
      </c>
      <c r="E115" t="s">
        <v>49</v>
      </c>
      <c r="F115" t="s">
        <v>50</v>
      </c>
      <c r="G115" t="s">
        <v>39</v>
      </c>
      <c r="H115">
        <v>765</v>
      </c>
      <c r="I115">
        <v>0.49740616417454903</v>
      </c>
      <c r="J115">
        <v>0.90048486081443002</v>
      </c>
      <c r="K115">
        <v>-0.40307869663988</v>
      </c>
      <c r="L115">
        <v>-0.43071321994066197</v>
      </c>
      <c r="M115">
        <v>-0.37212219834327698</v>
      </c>
      <c r="Q115">
        <v>10000</v>
      </c>
      <c r="R115" t="s">
        <v>31</v>
      </c>
      <c r="S115">
        <v>-0.40307869663988</v>
      </c>
      <c r="T115" t="s">
        <v>56</v>
      </c>
      <c r="U115" s="1">
        <v>9.9990000999900002E-5</v>
      </c>
      <c r="V115">
        <v>7.9992000799920002E-4</v>
      </c>
      <c r="W115" t="b">
        <v>1</v>
      </c>
      <c r="X115">
        <v>8</v>
      </c>
      <c r="Y115">
        <v>0</v>
      </c>
      <c r="Z115">
        <v>10000</v>
      </c>
      <c r="AA115">
        <v>10000</v>
      </c>
    </row>
    <row r="116" spans="1:27" x14ac:dyDescent="0.2">
      <c r="A116" t="s">
        <v>51</v>
      </c>
      <c r="B116" t="s">
        <v>52</v>
      </c>
      <c r="C116" t="s">
        <v>26</v>
      </c>
      <c r="D116" t="s">
        <v>27</v>
      </c>
      <c r="E116" t="s">
        <v>28</v>
      </c>
      <c r="F116" t="s">
        <v>29</v>
      </c>
      <c r="G116" t="s">
        <v>30</v>
      </c>
      <c r="H116">
        <v>3156</v>
      </c>
      <c r="I116">
        <v>0.5</v>
      </c>
      <c r="J116">
        <v>0.59019671517188499</v>
      </c>
      <c r="K116">
        <v>-9.0196715171885697E-2</v>
      </c>
      <c r="L116">
        <v>-0.10333341360092101</v>
      </c>
      <c r="M116">
        <v>-7.7383577823638902E-2</v>
      </c>
      <c r="Q116">
        <v>10000</v>
      </c>
      <c r="R116" t="s">
        <v>31</v>
      </c>
      <c r="S116">
        <v>-9.0196715171885697E-2</v>
      </c>
      <c r="T116" t="s">
        <v>26</v>
      </c>
      <c r="U116" s="1">
        <v>9.9990000999900002E-5</v>
      </c>
      <c r="V116">
        <v>7.9992000799920002E-4</v>
      </c>
      <c r="W116" t="b">
        <v>1</v>
      </c>
      <c r="X116">
        <v>8</v>
      </c>
      <c r="Y116">
        <v>0</v>
      </c>
      <c r="Z116">
        <v>10000</v>
      </c>
      <c r="AA116">
        <v>10000</v>
      </c>
    </row>
    <row r="117" spans="1:27" x14ac:dyDescent="0.2">
      <c r="A117" t="s">
        <v>51</v>
      </c>
      <c r="B117" t="s">
        <v>52</v>
      </c>
      <c r="C117" t="s">
        <v>26</v>
      </c>
      <c r="D117" t="s">
        <v>27</v>
      </c>
      <c r="E117" t="s">
        <v>28</v>
      </c>
      <c r="F117" t="s">
        <v>29</v>
      </c>
      <c r="G117" t="s">
        <v>32</v>
      </c>
      <c r="H117">
        <v>3156</v>
      </c>
      <c r="J117">
        <v>0.30682429441057202</v>
      </c>
      <c r="Q117">
        <v>0</v>
      </c>
      <c r="R117" t="s">
        <v>31</v>
      </c>
      <c r="T117" t="s">
        <v>53</v>
      </c>
      <c r="U117" s="1">
        <v>9.9990000999900002E-5</v>
      </c>
      <c r="V117">
        <v>7.9992000799920002E-4</v>
      </c>
      <c r="W117" t="b">
        <v>1</v>
      </c>
      <c r="X117">
        <v>8</v>
      </c>
      <c r="Y117">
        <v>0</v>
      </c>
      <c r="Z117">
        <v>10000</v>
      </c>
      <c r="AA117">
        <v>10000</v>
      </c>
    </row>
    <row r="118" spans="1:27" x14ac:dyDescent="0.2">
      <c r="A118" t="s">
        <v>51</v>
      </c>
      <c r="B118" t="s">
        <v>52</v>
      </c>
      <c r="C118" t="s">
        <v>26</v>
      </c>
      <c r="D118" t="s">
        <v>27</v>
      </c>
      <c r="E118" t="s">
        <v>28</v>
      </c>
      <c r="F118" t="s">
        <v>29</v>
      </c>
      <c r="G118" t="s">
        <v>33</v>
      </c>
      <c r="H118">
        <v>3156</v>
      </c>
      <c r="J118">
        <v>0.32508250825082502</v>
      </c>
      <c r="Q118">
        <v>0</v>
      </c>
      <c r="R118" t="s">
        <v>31</v>
      </c>
      <c r="T118" t="s">
        <v>53</v>
      </c>
      <c r="U118" s="1">
        <v>9.9990000999900002E-5</v>
      </c>
      <c r="V118">
        <v>7.9992000799920002E-4</v>
      </c>
      <c r="W118" t="b">
        <v>1</v>
      </c>
      <c r="X118">
        <v>8</v>
      </c>
      <c r="Y118">
        <v>0</v>
      </c>
      <c r="Z118">
        <v>10000</v>
      </c>
      <c r="AA118">
        <v>10000</v>
      </c>
    </row>
    <row r="119" spans="1:27" x14ac:dyDescent="0.2">
      <c r="A119" t="s">
        <v>51</v>
      </c>
      <c r="B119" t="s">
        <v>52</v>
      </c>
      <c r="C119" t="s">
        <v>26</v>
      </c>
      <c r="D119" t="s">
        <v>27</v>
      </c>
      <c r="E119" t="s">
        <v>28</v>
      </c>
      <c r="F119" t="s">
        <v>29</v>
      </c>
      <c r="G119" t="s">
        <v>34</v>
      </c>
      <c r="H119">
        <v>3156</v>
      </c>
      <c r="J119">
        <v>0.78486055776892405</v>
      </c>
      <c r="Q119">
        <v>0</v>
      </c>
      <c r="R119" t="s">
        <v>31</v>
      </c>
      <c r="T119" t="s">
        <v>53</v>
      </c>
      <c r="U119" s="1">
        <v>9.9990000999900002E-5</v>
      </c>
      <c r="V119">
        <v>7.9992000799920002E-4</v>
      </c>
      <c r="W119" t="b">
        <v>1</v>
      </c>
      <c r="X119">
        <v>8</v>
      </c>
      <c r="Y119">
        <v>0</v>
      </c>
      <c r="Z119">
        <v>10000</v>
      </c>
      <c r="AA119">
        <v>10000</v>
      </c>
    </row>
    <row r="120" spans="1:27" x14ac:dyDescent="0.2">
      <c r="A120" t="s">
        <v>51</v>
      </c>
      <c r="B120" t="s">
        <v>52</v>
      </c>
      <c r="C120" t="s">
        <v>26</v>
      </c>
      <c r="D120" t="s">
        <v>27</v>
      </c>
      <c r="E120" t="s">
        <v>28</v>
      </c>
      <c r="F120" t="s">
        <v>29</v>
      </c>
      <c r="G120" t="s">
        <v>35</v>
      </c>
      <c r="H120">
        <v>3156</v>
      </c>
      <c r="I120">
        <v>0</v>
      </c>
      <c r="J120">
        <v>0.204994797086368</v>
      </c>
      <c r="K120">
        <v>-0.204994797086368</v>
      </c>
      <c r="L120">
        <v>-0.23100936412811199</v>
      </c>
      <c r="M120">
        <v>-0.18002080917358301</v>
      </c>
      <c r="Q120">
        <v>10000</v>
      </c>
      <c r="R120" t="s">
        <v>31</v>
      </c>
      <c r="S120">
        <v>-0.204994797086368</v>
      </c>
      <c r="T120" t="s">
        <v>26</v>
      </c>
      <c r="U120" s="1">
        <v>9.9990000999900002E-5</v>
      </c>
      <c r="V120">
        <v>7.9992000799920002E-4</v>
      </c>
      <c r="W120" t="b">
        <v>1</v>
      </c>
      <c r="X120">
        <v>8</v>
      </c>
      <c r="Y120">
        <v>0</v>
      </c>
      <c r="Z120">
        <v>10000</v>
      </c>
      <c r="AA120">
        <v>10000</v>
      </c>
    </row>
    <row r="121" spans="1:27" x14ac:dyDescent="0.2">
      <c r="A121" t="s">
        <v>51</v>
      </c>
      <c r="B121" t="s">
        <v>52</v>
      </c>
      <c r="C121" t="s">
        <v>26</v>
      </c>
      <c r="D121" t="s">
        <v>27</v>
      </c>
      <c r="E121" t="s">
        <v>28</v>
      </c>
      <c r="F121" t="s">
        <v>29</v>
      </c>
      <c r="G121" t="s">
        <v>36</v>
      </c>
      <c r="H121">
        <v>3156</v>
      </c>
      <c r="I121">
        <v>961</v>
      </c>
      <c r="J121">
        <v>764</v>
      </c>
      <c r="K121">
        <v>197</v>
      </c>
      <c r="L121">
        <v>173</v>
      </c>
      <c r="M121">
        <v>222</v>
      </c>
      <c r="Q121">
        <v>10000</v>
      </c>
      <c r="R121" t="s">
        <v>37</v>
      </c>
      <c r="S121">
        <v>-197</v>
      </c>
      <c r="T121" t="s">
        <v>26</v>
      </c>
      <c r="U121" s="1">
        <v>9.9990000999900002E-5</v>
      </c>
      <c r="V121">
        <v>7.9992000799920002E-4</v>
      </c>
      <c r="W121" t="b">
        <v>1</v>
      </c>
      <c r="X121">
        <v>8</v>
      </c>
      <c r="Y121">
        <v>0</v>
      </c>
      <c r="Z121">
        <v>10000</v>
      </c>
      <c r="AA121">
        <v>10000</v>
      </c>
    </row>
    <row r="122" spans="1:27" x14ac:dyDescent="0.2">
      <c r="A122" t="s">
        <v>51</v>
      </c>
      <c r="B122" t="s">
        <v>52</v>
      </c>
      <c r="C122" t="s">
        <v>26</v>
      </c>
      <c r="D122" t="s">
        <v>27</v>
      </c>
      <c r="E122" t="s">
        <v>28</v>
      </c>
      <c r="F122" t="s">
        <v>29</v>
      </c>
      <c r="G122" t="s">
        <v>38</v>
      </c>
      <c r="H122">
        <v>3156</v>
      </c>
      <c r="I122">
        <v>0.30445178611650098</v>
      </c>
      <c r="J122">
        <v>0.60170806035767499</v>
      </c>
      <c r="K122">
        <v>-0.29725627424117301</v>
      </c>
      <c r="L122">
        <v>-0.325632032752037</v>
      </c>
      <c r="M122">
        <v>-0.26922964900731999</v>
      </c>
      <c r="Q122">
        <v>10000</v>
      </c>
      <c r="R122" t="s">
        <v>31</v>
      </c>
      <c r="S122">
        <v>-0.29725627424117301</v>
      </c>
      <c r="T122" t="s">
        <v>26</v>
      </c>
      <c r="U122" s="1">
        <v>9.9990000999900002E-5</v>
      </c>
      <c r="V122">
        <v>7.9992000799920002E-4</v>
      </c>
      <c r="W122" t="b">
        <v>1</v>
      </c>
      <c r="X122">
        <v>8</v>
      </c>
      <c r="Y122">
        <v>0</v>
      </c>
      <c r="Z122">
        <v>10000</v>
      </c>
      <c r="AA122">
        <v>10000</v>
      </c>
    </row>
    <row r="123" spans="1:27" x14ac:dyDescent="0.2">
      <c r="A123" t="s">
        <v>51</v>
      </c>
      <c r="B123" t="s">
        <v>52</v>
      </c>
      <c r="C123" t="s">
        <v>26</v>
      </c>
      <c r="D123" t="s">
        <v>27</v>
      </c>
      <c r="E123" t="s">
        <v>28</v>
      </c>
      <c r="F123" t="s">
        <v>29</v>
      </c>
      <c r="G123" t="s">
        <v>39</v>
      </c>
      <c r="H123">
        <v>3156</v>
      </c>
      <c r="I123">
        <v>0.5</v>
      </c>
      <c r="J123">
        <v>0.75558394705590903</v>
      </c>
      <c r="K123">
        <v>-0.25558394705590898</v>
      </c>
      <c r="L123">
        <v>-0.27389175444841302</v>
      </c>
      <c r="M123">
        <v>-0.236133034527301</v>
      </c>
      <c r="Q123">
        <v>10000</v>
      </c>
      <c r="R123" t="s">
        <v>31</v>
      </c>
      <c r="S123">
        <v>-0.25558394705590898</v>
      </c>
      <c r="T123" t="s">
        <v>26</v>
      </c>
      <c r="U123" s="1">
        <v>9.9990000999900002E-5</v>
      </c>
      <c r="V123">
        <v>7.9992000799920002E-4</v>
      </c>
      <c r="W123" t="b">
        <v>1</v>
      </c>
      <c r="X123">
        <v>8</v>
      </c>
      <c r="Y123">
        <v>0</v>
      </c>
      <c r="Z123">
        <v>10000</v>
      </c>
      <c r="AA123">
        <v>10000</v>
      </c>
    </row>
    <row r="124" spans="1:27" x14ac:dyDescent="0.2">
      <c r="A124" t="s">
        <v>51</v>
      </c>
      <c r="B124" t="s">
        <v>52</v>
      </c>
      <c r="C124" t="s">
        <v>26</v>
      </c>
      <c r="D124" t="s">
        <v>27</v>
      </c>
      <c r="E124" t="s">
        <v>40</v>
      </c>
      <c r="F124" t="s">
        <v>41</v>
      </c>
      <c r="G124" t="s">
        <v>30</v>
      </c>
      <c r="H124">
        <v>2391</v>
      </c>
      <c r="I124">
        <v>0.5</v>
      </c>
      <c r="J124">
        <v>0.58374049106314496</v>
      </c>
      <c r="K124">
        <v>-8.3740491063145503E-2</v>
      </c>
      <c r="L124">
        <v>-9.7838568687438898E-2</v>
      </c>
      <c r="M124">
        <v>-7.0358519256114901E-2</v>
      </c>
      <c r="Q124">
        <v>10000</v>
      </c>
      <c r="R124" t="s">
        <v>31</v>
      </c>
      <c r="S124">
        <v>-8.3740491063145503E-2</v>
      </c>
      <c r="T124" t="s">
        <v>26</v>
      </c>
      <c r="U124" s="1">
        <v>9.9990000999900002E-5</v>
      </c>
      <c r="V124">
        <v>7.9992000799920002E-4</v>
      </c>
      <c r="W124" t="b">
        <v>1</v>
      </c>
      <c r="X124">
        <v>8</v>
      </c>
      <c r="Y124">
        <v>0</v>
      </c>
      <c r="Z124">
        <v>10000</v>
      </c>
      <c r="AA124">
        <v>10000</v>
      </c>
    </row>
    <row r="125" spans="1:27" x14ac:dyDescent="0.2">
      <c r="A125" t="s">
        <v>51</v>
      </c>
      <c r="B125" t="s">
        <v>52</v>
      </c>
      <c r="C125" t="s">
        <v>26</v>
      </c>
      <c r="D125" t="s">
        <v>27</v>
      </c>
      <c r="E125" t="s">
        <v>40</v>
      </c>
      <c r="F125" t="s">
        <v>41</v>
      </c>
      <c r="G125" t="s">
        <v>32</v>
      </c>
      <c r="H125">
        <v>2391</v>
      </c>
      <c r="J125">
        <v>0.28434430293253798</v>
      </c>
      <c r="Q125">
        <v>0</v>
      </c>
      <c r="R125" t="s">
        <v>31</v>
      </c>
      <c r="T125" t="s">
        <v>53</v>
      </c>
      <c r="U125" s="1">
        <v>9.9990000999900002E-5</v>
      </c>
      <c r="V125">
        <v>7.9992000799920002E-4</v>
      </c>
      <c r="W125" t="b">
        <v>1</v>
      </c>
      <c r="X125">
        <v>8</v>
      </c>
      <c r="Y125">
        <v>0</v>
      </c>
      <c r="Z125">
        <v>10000</v>
      </c>
      <c r="AA125">
        <v>10000</v>
      </c>
    </row>
    <row r="126" spans="1:27" x14ac:dyDescent="0.2">
      <c r="A126" t="s">
        <v>51</v>
      </c>
      <c r="B126" t="s">
        <v>52</v>
      </c>
      <c r="C126" t="s">
        <v>26</v>
      </c>
      <c r="D126" t="s">
        <v>27</v>
      </c>
      <c r="E126" t="s">
        <v>40</v>
      </c>
      <c r="F126" t="s">
        <v>41</v>
      </c>
      <c r="G126" t="s">
        <v>33</v>
      </c>
      <c r="H126">
        <v>2391</v>
      </c>
      <c r="J126">
        <v>0.31336405529953898</v>
      </c>
      <c r="Q126">
        <v>0</v>
      </c>
      <c r="R126" t="s">
        <v>31</v>
      </c>
      <c r="T126" t="s">
        <v>53</v>
      </c>
      <c r="U126" s="1">
        <v>9.9990000999900002E-5</v>
      </c>
      <c r="V126">
        <v>7.9992000799920002E-4</v>
      </c>
      <c r="W126" t="b">
        <v>1</v>
      </c>
      <c r="X126">
        <v>8</v>
      </c>
      <c r="Y126">
        <v>0</v>
      </c>
      <c r="Z126">
        <v>10000</v>
      </c>
      <c r="AA126">
        <v>10000</v>
      </c>
    </row>
    <row r="127" spans="1:27" x14ac:dyDescent="0.2">
      <c r="A127" t="s">
        <v>51</v>
      </c>
      <c r="B127" t="s">
        <v>52</v>
      </c>
      <c r="C127" t="s">
        <v>26</v>
      </c>
      <c r="D127" t="s">
        <v>27</v>
      </c>
      <c r="E127" t="s">
        <v>40</v>
      </c>
      <c r="F127" t="s">
        <v>41</v>
      </c>
      <c r="G127" t="s">
        <v>34</v>
      </c>
      <c r="H127">
        <v>2391</v>
      </c>
      <c r="J127">
        <v>0.80568720379146896</v>
      </c>
      <c r="Q127">
        <v>0</v>
      </c>
      <c r="R127" t="s">
        <v>31</v>
      </c>
      <c r="T127" t="s">
        <v>53</v>
      </c>
      <c r="U127" s="1">
        <v>9.9990000999900002E-5</v>
      </c>
      <c r="V127">
        <v>7.9992000799920002E-4</v>
      </c>
      <c r="W127" t="b">
        <v>1</v>
      </c>
      <c r="X127">
        <v>8</v>
      </c>
      <c r="Y127">
        <v>0</v>
      </c>
      <c r="Z127">
        <v>10000</v>
      </c>
      <c r="AA127">
        <v>10000</v>
      </c>
    </row>
    <row r="128" spans="1:27" x14ac:dyDescent="0.2">
      <c r="A128" t="s">
        <v>51</v>
      </c>
      <c r="B128" t="s">
        <v>52</v>
      </c>
      <c r="C128" t="s">
        <v>26</v>
      </c>
      <c r="D128" t="s">
        <v>27</v>
      </c>
      <c r="E128" t="s">
        <v>40</v>
      </c>
      <c r="F128" t="s">
        <v>41</v>
      </c>
      <c r="G128" t="s">
        <v>35</v>
      </c>
      <c r="H128">
        <v>2391</v>
      </c>
      <c r="I128">
        <v>0</v>
      </c>
      <c r="J128">
        <v>0.19450800915331801</v>
      </c>
      <c r="K128">
        <v>-0.19450800915331801</v>
      </c>
      <c r="L128">
        <v>-0.220823794603347</v>
      </c>
      <c r="M128">
        <v>-0.169336378574371</v>
      </c>
      <c r="Q128">
        <v>10000</v>
      </c>
      <c r="R128" t="s">
        <v>31</v>
      </c>
      <c r="S128">
        <v>-0.19450800915331801</v>
      </c>
      <c r="T128" t="s">
        <v>26</v>
      </c>
      <c r="U128" s="1">
        <v>9.9990000999900002E-5</v>
      </c>
      <c r="V128">
        <v>7.9992000799920002E-4</v>
      </c>
      <c r="W128" t="b">
        <v>1</v>
      </c>
      <c r="X128">
        <v>8</v>
      </c>
      <c r="Y128">
        <v>0</v>
      </c>
      <c r="Z128">
        <v>10000</v>
      </c>
      <c r="AA128">
        <v>10000</v>
      </c>
    </row>
    <row r="129" spans="1:27" x14ac:dyDescent="0.2">
      <c r="A129" t="s">
        <v>51</v>
      </c>
      <c r="B129" t="s">
        <v>52</v>
      </c>
      <c r="C129" t="s">
        <v>26</v>
      </c>
      <c r="D129" t="s">
        <v>27</v>
      </c>
      <c r="E129" t="s">
        <v>40</v>
      </c>
      <c r="F129" t="s">
        <v>41</v>
      </c>
      <c r="G129" t="s">
        <v>36</v>
      </c>
      <c r="H129">
        <v>2391</v>
      </c>
      <c r="I129">
        <v>874</v>
      </c>
      <c r="J129">
        <v>704</v>
      </c>
      <c r="K129">
        <v>170</v>
      </c>
      <c r="L129">
        <v>148</v>
      </c>
      <c r="M129">
        <v>193</v>
      </c>
      <c r="Q129">
        <v>10000</v>
      </c>
      <c r="R129" t="s">
        <v>37</v>
      </c>
      <c r="S129">
        <v>-170</v>
      </c>
      <c r="T129" t="s">
        <v>26</v>
      </c>
      <c r="U129" s="1">
        <v>9.9990000999900002E-5</v>
      </c>
      <c r="V129">
        <v>7.9992000799920002E-4</v>
      </c>
      <c r="W129" t="b">
        <v>1</v>
      </c>
      <c r="X129">
        <v>8</v>
      </c>
      <c r="Y129">
        <v>0</v>
      </c>
      <c r="Z129">
        <v>10000</v>
      </c>
      <c r="AA129">
        <v>10000</v>
      </c>
    </row>
    <row r="130" spans="1:27" x14ac:dyDescent="0.2">
      <c r="A130" t="s">
        <v>51</v>
      </c>
      <c r="B130" t="s">
        <v>52</v>
      </c>
      <c r="C130" t="s">
        <v>26</v>
      </c>
      <c r="D130" t="s">
        <v>27</v>
      </c>
      <c r="E130" t="s">
        <v>40</v>
      </c>
      <c r="F130" t="s">
        <v>41</v>
      </c>
      <c r="G130" t="s">
        <v>38</v>
      </c>
      <c r="H130">
        <v>2391</v>
      </c>
      <c r="I130">
        <v>0.36580113090011601</v>
      </c>
      <c r="J130">
        <v>0.62964162854208805</v>
      </c>
      <c r="K130">
        <v>-0.26384049764197198</v>
      </c>
      <c r="L130">
        <v>-0.29372379481792399</v>
      </c>
      <c r="M130">
        <v>-0.23598400205373701</v>
      </c>
      <c r="Q130">
        <v>10000</v>
      </c>
      <c r="R130" t="s">
        <v>31</v>
      </c>
      <c r="S130">
        <v>-0.26384049764197198</v>
      </c>
      <c r="T130" t="s">
        <v>26</v>
      </c>
      <c r="U130" s="1">
        <v>9.9990000999900002E-5</v>
      </c>
      <c r="V130">
        <v>7.9992000799920002E-4</v>
      </c>
      <c r="W130" t="b">
        <v>1</v>
      </c>
      <c r="X130">
        <v>8</v>
      </c>
      <c r="Y130">
        <v>0</v>
      </c>
      <c r="Z130">
        <v>10000</v>
      </c>
      <c r="AA130">
        <v>10000</v>
      </c>
    </row>
    <row r="131" spans="1:27" x14ac:dyDescent="0.2">
      <c r="A131" t="s">
        <v>51</v>
      </c>
      <c r="B131" t="s">
        <v>52</v>
      </c>
      <c r="C131" t="s">
        <v>26</v>
      </c>
      <c r="D131" t="s">
        <v>27</v>
      </c>
      <c r="E131" t="s">
        <v>40</v>
      </c>
      <c r="F131" t="s">
        <v>41</v>
      </c>
      <c r="G131" t="s">
        <v>39</v>
      </c>
      <c r="H131">
        <v>2391</v>
      </c>
      <c r="I131">
        <v>0.50036089837674902</v>
      </c>
      <c r="J131">
        <v>0.73206029604980305</v>
      </c>
      <c r="K131">
        <v>-0.231699397673054</v>
      </c>
      <c r="L131">
        <v>-0.25235798507928803</v>
      </c>
      <c r="M131">
        <v>-0.210654026269912</v>
      </c>
      <c r="Q131">
        <v>10000</v>
      </c>
      <c r="R131" t="s">
        <v>31</v>
      </c>
      <c r="S131">
        <v>-0.231699397673054</v>
      </c>
      <c r="T131" t="s">
        <v>26</v>
      </c>
      <c r="U131" s="1">
        <v>9.9990000999900002E-5</v>
      </c>
      <c r="V131">
        <v>7.9992000799920002E-4</v>
      </c>
      <c r="W131" t="b">
        <v>1</v>
      </c>
      <c r="X131">
        <v>8</v>
      </c>
      <c r="Y131">
        <v>0</v>
      </c>
      <c r="Z131">
        <v>10000</v>
      </c>
      <c r="AA131">
        <v>10000</v>
      </c>
    </row>
    <row r="132" spans="1:27" x14ac:dyDescent="0.2">
      <c r="A132" t="s">
        <v>51</v>
      </c>
      <c r="B132" t="s">
        <v>52</v>
      </c>
      <c r="C132" t="s">
        <v>26</v>
      </c>
      <c r="D132" t="s">
        <v>27</v>
      </c>
      <c r="E132" t="s">
        <v>42</v>
      </c>
      <c r="F132" t="s">
        <v>43</v>
      </c>
      <c r="G132" t="s">
        <v>44</v>
      </c>
      <c r="H132">
        <v>765</v>
      </c>
      <c r="I132">
        <v>0.57909069161433602</v>
      </c>
      <c r="J132">
        <v>0.36501545636959998</v>
      </c>
      <c r="K132">
        <v>0.21407523524473501</v>
      </c>
      <c r="L132">
        <v>0.185359290242195</v>
      </c>
      <c r="M132">
        <v>0.24332725554704601</v>
      </c>
      <c r="Q132">
        <v>10000</v>
      </c>
      <c r="R132" t="s">
        <v>37</v>
      </c>
      <c r="S132">
        <v>-0.21407523524473501</v>
      </c>
      <c r="T132" t="s">
        <v>26</v>
      </c>
      <c r="U132" s="1">
        <v>9.9990000999900002E-5</v>
      </c>
      <c r="V132">
        <v>4.9995000499950004E-4</v>
      </c>
      <c r="W132" t="b">
        <v>1</v>
      </c>
      <c r="X132">
        <v>5</v>
      </c>
      <c r="Y132">
        <v>0</v>
      </c>
      <c r="Z132">
        <v>10000</v>
      </c>
      <c r="AA132">
        <v>10000</v>
      </c>
    </row>
    <row r="133" spans="1:27" x14ac:dyDescent="0.2">
      <c r="A133" t="s">
        <v>51</v>
      </c>
      <c r="B133" t="s">
        <v>52</v>
      </c>
      <c r="C133" t="s">
        <v>26</v>
      </c>
      <c r="D133" t="s">
        <v>27</v>
      </c>
      <c r="E133" t="s">
        <v>42</v>
      </c>
      <c r="F133" t="s">
        <v>43</v>
      </c>
      <c r="G133" t="s">
        <v>45</v>
      </c>
      <c r="H133">
        <v>765</v>
      </c>
      <c r="I133">
        <v>0.54462571147849104</v>
      </c>
      <c r="J133">
        <v>0.249048902243939</v>
      </c>
      <c r="K133">
        <v>0.29557680923455099</v>
      </c>
      <c r="L133">
        <v>0.25426928699016499</v>
      </c>
      <c r="M133">
        <v>0.33863364793360201</v>
      </c>
      <c r="Q133">
        <v>10000</v>
      </c>
      <c r="R133" t="s">
        <v>37</v>
      </c>
      <c r="S133">
        <v>-0.29557680923455099</v>
      </c>
      <c r="T133" t="s">
        <v>26</v>
      </c>
      <c r="U133" s="1">
        <v>9.9990000999900002E-5</v>
      </c>
      <c r="V133">
        <v>4.9995000499950004E-4</v>
      </c>
      <c r="W133" t="b">
        <v>1</v>
      </c>
      <c r="X133">
        <v>5</v>
      </c>
      <c r="Y133">
        <v>0</v>
      </c>
      <c r="Z133">
        <v>10000</v>
      </c>
      <c r="AA133">
        <v>10000</v>
      </c>
    </row>
    <row r="134" spans="1:27" x14ac:dyDescent="0.2">
      <c r="A134" t="s">
        <v>51</v>
      </c>
      <c r="B134" t="s">
        <v>52</v>
      </c>
      <c r="C134" t="s">
        <v>26</v>
      </c>
      <c r="D134" t="s">
        <v>27</v>
      </c>
      <c r="E134" t="s">
        <v>42</v>
      </c>
      <c r="F134" t="s">
        <v>43</v>
      </c>
      <c r="G134" t="s">
        <v>46</v>
      </c>
      <c r="H134">
        <v>765</v>
      </c>
      <c r="I134">
        <v>1.3807999023364099</v>
      </c>
      <c r="J134">
        <v>0.68204019863646903</v>
      </c>
      <c r="K134">
        <v>0.698759703699944</v>
      </c>
      <c r="L134">
        <v>0.61714581400155999</v>
      </c>
      <c r="M134">
        <v>0.78334383815526898</v>
      </c>
      <c r="Q134">
        <v>10000</v>
      </c>
      <c r="R134" t="s">
        <v>37</v>
      </c>
      <c r="S134">
        <v>-0.698759703699944</v>
      </c>
      <c r="T134" t="s">
        <v>26</v>
      </c>
      <c r="U134" s="1">
        <v>9.9990000999900002E-5</v>
      </c>
      <c r="V134">
        <v>4.9995000499950004E-4</v>
      </c>
      <c r="W134" t="b">
        <v>1</v>
      </c>
      <c r="X134">
        <v>5</v>
      </c>
      <c r="Y134">
        <v>0</v>
      </c>
      <c r="Z134">
        <v>10000</v>
      </c>
      <c r="AA134">
        <v>10000</v>
      </c>
    </row>
    <row r="135" spans="1:27" x14ac:dyDescent="0.2">
      <c r="A135" t="s">
        <v>51</v>
      </c>
      <c r="B135" t="s">
        <v>52</v>
      </c>
      <c r="C135" t="s">
        <v>26</v>
      </c>
      <c r="D135" t="s">
        <v>27</v>
      </c>
      <c r="E135" t="s">
        <v>42</v>
      </c>
      <c r="F135" t="s">
        <v>43</v>
      </c>
      <c r="G135" t="s">
        <v>47</v>
      </c>
      <c r="H135">
        <v>765</v>
      </c>
      <c r="I135">
        <v>-1.8772044829888899E-2</v>
      </c>
      <c r="J135">
        <v>0.73736182978942999</v>
      </c>
      <c r="K135">
        <v>-0.75613387461931902</v>
      </c>
      <c r="L135">
        <v>-0.82059700936079005</v>
      </c>
      <c r="M135">
        <v>-0.69179507461376399</v>
      </c>
      <c r="Q135">
        <v>10000</v>
      </c>
      <c r="R135" t="s">
        <v>31</v>
      </c>
      <c r="S135">
        <v>-0.75613387461931902</v>
      </c>
      <c r="T135" t="s">
        <v>26</v>
      </c>
      <c r="U135" s="1">
        <v>9.9990000999900002E-5</v>
      </c>
      <c r="V135">
        <v>4.9995000499950004E-4</v>
      </c>
      <c r="W135" t="b">
        <v>1</v>
      </c>
      <c r="X135">
        <v>5</v>
      </c>
      <c r="Y135">
        <v>0</v>
      </c>
      <c r="Z135">
        <v>10000</v>
      </c>
      <c r="AA135">
        <v>10000</v>
      </c>
    </row>
    <row r="136" spans="1:27" x14ac:dyDescent="0.2">
      <c r="A136" t="s">
        <v>51</v>
      </c>
      <c r="B136" t="s">
        <v>52</v>
      </c>
      <c r="C136" t="s">
        <v>26</v>
      </c>
      <c r="D136" t="s">
        <v>27</v>
      </c>
      <c r="E136" t="s">
        <v>42</v>
      </c>
      <c r="F136" t="s">
        <v>43</v>
      </c>
      <c r="G136" t="s">
        <v>48</v>
      </c>
      <c r="H136">
        <v>765</v>
      </c>
      <c r="I136">
        <v>-1.9821918774121E-4</v>
      </c>
      <c r="J136">
        <v>0.54262484626584195</v>
      </c>
      <c r="K136">
        <v>-0.54282306545358305</v>
      </c>
      <c r="L136">
        <v>-0.59967678322573104</v>
      </c>
      <c r="M136">
        <v>-0.48338508210272202</v>
      </c>
      <c r="Q136">
        <v>10000</v>
      </c>
      <c r="R136" t="s">
        <v>31</v>
      </c>
      <c r="S136">
        <v>-0.54282306545358305</v>
      </c>
      <c r="T136" t="s">
        <v>26</v>
      </c>
      <c r="U136" s="1">
        <v>9.9990000999900002E-5</v>
      </c>
      <c r="V136">
        <v>4.9995000499950004E-4</v>
      </c>
      <c r="W136" t="b">
        <v>1</v>
      </c>
      <c r="X136">
        <v>5</v>
      </c>
      <c r="Y136">
        <v>0</v>
      </c>
      <c r="Z136">
        <v>10000</v>
      </c>
      <c r="AA136">
        <v>10000</v>
      </c>
    </row>
    <row r="137" spans="1:27" x14ac:dyDescent="0.2">
      <c r="A137" t="s">
        <v>51</v>
      </c>
      <c r="B137" t="s">
        <v>52</v>
      </c>
      <c r="C137" t="s">
        <v>26</v>
      </c>
      <c r="D137" t="s">
        <v>27</v>
      </c>
      <c r="E137" t="s">
        <v>49</v>
      </c>
      <c r="F137" t="s">
        <v>50</v>
      </c>
      <c r="G137" t="s">
        <v>30</v>
      </c>
      <c r="H137">
        <v>765</v>
      </c>
      <c r="I137">
        <v>0.5</v>
      </c>
      <c r="J137">
        <v>0.64558539314413499</v>
      </c>
      <c r="K137">
        <v>-0.14558539314413499</v>
      </c>
      <c r="L137">
        <v>-0.19451224803924499</v>
      </c>
      <c r="M137">
        <v>-9.8870933055877602E-2</v>
      </c>
      <c r="Q137">
        <v>10000</v>
      </c>
      <c r="R137" t="s">
        <v>31</v>
      </c>
      <c r="S137">
        <v>-0.14558539314413499</v>
      </c>
      <c r="T137" t="s">
        <v>26</v>
      </c>
      <c r="U137" s="1">
        <v>9.9990000999900002E-5</v>
      </c>
      <c r="V137">
        <v>7.9992000799920002E-4</v>
      </c>
      <c r="W137" t="b">
        <v>1</v>
      </c>
      <c r="X137">
        <v>8</v>
      </c>
      <c r="Y137">
        <v>0</v>
      </c>
      <c r="Z137">
        <v>10000</v>
      </c>
      <c r="AA137">
        <v>10000</v>
      </c>
    </row>
    <row r="138" spans="1:27" x14ac:dyDescent="0.2">
      <c r="A138" t="s">
        <v>51</v>
      </c>
      <c r="B138" t="s">
        <v>52</v>
      </c>
      <c r="C138" t="s">
        <v>26</v>
      </c>
      <c r="D138" t="s">
        <v>27</v>
      </c>
      <c r="E138" t="s">
        <v>49</v>
      </c>
      <c r="F138" t="s">
        <v>50</v>
      </c>
      <c r="G138" t="s">
        <v>32</v>
      </c>
      <c r="H138">
        <v>765</v>
      </c>
      <c r="J138">
        <v>0.41526303481798499</v>
      </c>
      <c r="Q138">
        <v>0</v>
      </c>
      <c r="R138" t="s">
        <v>31</v>
      </c>
      <c r="T138" t="s">
        <v>53</v>
      </c>
      <c r="U138" s="1">
        <v>9.9990000999900002E-5</v>
      </c>
      <c r="V138">
        <v>7.9992000799920002E-4</v>
      </c>
      <c r="W138" t="b">
        <v>1</v>
      </c>
      <c r="X138">
        <v>8</v>
      </c>
      <c r="Y138">
        <v>0</v>
      </c>
      <c r="Z138">
        <v>10000</v>
      </c>
      <c r="AA138">
        <v>10000</v>
      </c>
    </row>
    <row r="139" spans="1:27" x14ac:dyDescent="0.2">
      <c r="A139" t="s">
        <v>51</v>
      </c>
      <c r="B139" t="s">
        <v>52</v>
      </c>
      <c r="C139" t="s">
        <v>26</v>
      </c>
      <c r="D139" t="s">
        <v>27</v>
      </c>
      <c r="E139" t="s">
        <v>49</v>
      </c>
      <c r="F139" t="s">
        <v>50</v>
      </c>
      <c r="G139" t="s">
        <v>33</v>
      </c>
      <c r="H139">
        <v>765</v>
      </c>
      <c r="J139">
        <v>0.42519685039369998</v>
      </c>
      <c r="Q139">
        <v>0</v>
      </c>
      <c r="R139" t="s">
        <v>31</v>
      </c>
      <c r="T139" t="s">
        <v>53</v>
      </c>
      <c r="U139" s="1">
        <v>9.9990000999900002E-5</v>
      </c>
      <c r="V139">
        <v>7.9992000799920002E-4</v>
      </c>
      <c r="W139" t="b">
        <v>1</v>
      </c>
      <c r="X139">
        <v>8</v>
      </c>
      <c r="Y139">
        <v>0</v>
      </c>
      <c r="Z139">
        <v>10000</v>
      </c>
      <c r="AA139">
        <v>10000</v>
      </c>
    </row>
    <row r="140" spans="1:27" x14ac:dyDescent="0.2">
      <c r="A140" t="s">
        <v>51</v>
      </c>
      <c r="B140" t="s">
        <v>52</v>
      </c>
      <c r="C140" t="s">
        <v>26</v>
      </c>
      <c r="D140" t="s">
        <v>27</v>
      </c>
      <c r="E140" t="s">
        <v>49</v>
      </c>
      <c r="F140" t="s">
        <v>50</v>
      </c>
      <c r="G140" t="s">
        <v>34</v>
      </c>
      <c r="H140">
        <v>765</v>
      </c>
      <c r="J140">
        <v>0.67500000000000004</v>
      </c>
      <c r="Q140">
        <v>0</v>
      </c>
      <c r="R140" t="s">
        <v>31</v>
      </c>
      <c r="T140" t="s">
        <v>53</v>
      </c>
      <c r="U140" s="1">
        <v>9.9990000999900002E-5</v>
      </c>
      <c r="V140">
        <v>7.9992000799920002E-4</v>
      </c>
      <c r="W140" t="b">
        <v>1</v>
      </c>
      <c r="X140">
        <v>8</v>
      </c>
      <c r="Y140">
        <v>0</v>
      </c>
      <c r="Z140">
        <v>10000</v>
      </c>
      <c r="AA140">
        <v>10000</v>
      </c>
    </row>
    <row r="141" spans="1:27" x14ac:dyDescent="0.2">
      <c r="A141" t="s">
        <v>51</v>
      </c>
      <c r="B141" t="s">
        <v>52</v>
      </c>
      <c r="C141" t="s">
        <v>26</v>
      </c>
      <c r="D141" t="s">
        <v>27</v>
      </c>
      <c r="E141" t="s">
        <v>49</v>
      </c>
      <c r="F141" t="s">
        <v>50</v>
      </c>
      <c r="G141" t="s">
        <v>35</v>
      </c>
      <c r="H141">
        <v>765</v>
      </c>
      <c r="I141">
        <v>0</v>
      </c>
      <c r="J141">
        <v>0.31034482758620602</v>
      </c>
      <c r="K141">
        <v>-0.31034482758620602</v>
      </c>
      <c r="L141">
        <v>-0.41379311680793701</v>
      </c>
      <c r="M141">
        <v>-0.218390807509422</v>
      </c>
      <c r="Q141">
        <v>10000</v>
      </c>
      <c r="R141" t="s">
        <v>31</v>
      </c>
      <c r="S141">
        <v>-0.31034482758620602</v>
      </c>
      <c r="T141" t="s">
        <v>26</v>
      </c>
      <c r="U141" s="1">
        <v>9.9990000999900002E-5</v>
      </c>
      <c r="V141">
        <v>7.9992000799920002E-4</v>
      </c>
      <c r="W141" t="b">
        <v>1</v>
      </c>
      <c r="X141">
        <v>8</v>
      </c>
      <c r="Y141">
        <v>0</v>
      </c>
      <c r="Z141">
        <v>10000</v>
      </c>
      <c r="AA141">
        <v>10000</v>
      </c>
    </row>
    <row r="142" spans="1:27" x14ac:dyDescent="0.2">
      <c r="A142" t="s">
        <v>51</v>
      </c>
      <c r="B142" t="s">
        <v>52</v>
      </c>
      <c r="C142" t="s">
        <v>26</v>
      </c>
      <c r="D142" t="s">
        <v>27</v>
      </c>
      <c r="E142" t="s">
        <v>49</v>
      </c>
      <c r="F142" t="s">
        <v>50</v>
      </c>
      <c r="G142" t="s">
        <v>36</v>
      </c>
      <c r="H142">
        <v>765</v>
      </c>
      <c r="I142">
        <v>87</v>
      </c>
      <c r="J142">
        <v>60</v>
      </c>
      <c r="K142">
        <v>27</v>
      </c>
      <c r="L142">
        <v>19</v>
      </c>
      <c r="M142">
        <v>36</v>
      </c>
      <c r="Q142">
        <v>10000</v>
      </c>
      <c r="R142" t="s">
        <v>37</v>
      </c>
      <c r="S142">
        <v>-27</v>
      </c>
      <c r="T142" t="s">
        <v>26</v>
      </c>
      <c r="U142" s="1">
        <v>9.9990000999900002E-5</v>
      </c>
      <c r="V142">
        <v>7.9992000799920002E-4</v>
      </c>
      <c r="W142" t="b">
        <v>1</v>
      </c>
      <c r="X142">
        <v>8</v>
      </c>
      <c r="Y142">
        <v>0</v>
      </c>
      <c r="Z142">
        <v>10000</v>
      </c>
      <c r="AA142">
        <v>10000</v>
      </c>
    </row>
    <row r="143" spans="1:27" x14ac:dyDescent="0.2">
      <c r="A143" t="s">
        <v>51</v>
      </c>
      <c r="B143" t="s">
        <v>52</v>
      </c>
      <c r="C143" t="s">
        <v>26</v>
      </c>
      <c r="D143" t="s">
        <v>27</v>
      </c>
      <c r="E143" t="s">
        <v>49</v>
      </c>
      <c r="F143" t="s">
        <v>50</v>
      </c>
      <c r="G143" t="s">
        <v>38</v>
      </c>
      <c r="H143">
        <v>765</v>
      </c>
      <c r="I143">
        <v>0.112748854331004</v>
      </c>
      <c r="J143">
        <v>0.54690161873402099</v>
      </c>
      <c r="K143">
        <v>-0.43415276440301698</v>
      </c>
      <c r="L143">
        <v>-0.53468660563230497</v>
      </c>
      <c r="M143">
        <v>-0.34575125053524902</v>
      </c>
      <c r="Q143">
        <v>10000</v>
      </c>
      <c r="R143" t="s">
        <v>31</v>
      </c>
      <c r="S143">
        <v>-0.43415276440301698</v>
      </c>
      <c r="T143" t="s">
        <v>26</v>
      </c>
      <c r="U143" s="1">
        <v>9.9990000999900002E-5</v>
      </c>
      <c r="V143">
        <v>7.9992000799920002E-4</v>
      </c>
      <c r="W143" t="b">
        <v>1</v>
      </c>
      <c r="X143">
        <v>8</v>
      </c>
      <c r="Y143">
        <v>0</v>
      </c>
      <c r="Z143">
        <v>10000</v>
      </c>
      <c r="AA143">
        <v>10000</v>
      </c>
    </row>
    <row r="144" spans="1:27" x14ac:dyDescent="0.2">
      <c r="A144" t="s">
        <v>51</v>
      </c>
      <c r="B144" t="s">
        <v>52</v>
      </c>
      <c r="C144" t="s">
        <v>26</v>
      </c>
      <c r="D144" t="s">
        <v>27</v>
      </c>
      <c r="E144" t="s">
        <v>49</v>
      </c>
      <c r="F144" t="s">
        <v>50</v>
      </c>
      <c r="G144" t="s">
        <v>39</v>
      </c>
      <c r="H144">
        <v>765</v>
      </c>
      <c r="I144">
        <v>0.49740616417454903</v>
      </c>
      <c r="J144">
        <v>0.89039772149323504</v>
      </c>
      <c r="K144">
        <v>-0.39299155731868501</v>
      </c>
      <c r="L144">
        <v>-0.423016472160816</v>
      </c>
      <c r="M144">
        <v>-0.35986461639404299</v>
      </c>
      <c r="Q144">
        <v>10000</v>
      </c>
      <c r="R144" t="s">
        <v>31</v>
      </c>
      <c r="S144">
        <v>-0.39299155731868501</v>
      </c>
      <c r="T144" t="s">
        <v>26</v>
      </c>
      <c r="U144" s="1">
        <v>9.9990000999900002E-5</v>
      </c>
      <c r="V144">
        <v>7.9992000799920002E-4</v>
      </c>
      <c r="W144" t="b">
        <v>1</v>
      </c>
      <c r="X144">
        <v>8</v>
      </c>
      <c r="Y144">
        <v>0</v>
      </c>
      <c r="Z144">
        <v>10000</v>
      </c>
      <c r="AA144">
        <v>10000</v>
      </c>
    </row>
    <row r="145" spans="1:27" x14ac:dyDescent="0.2">
      <c r="A145" t="s">
        <v>54</v>
      </c>
      <c r="B145" t="s">
        <v>55</v>
      </c>
      <c r="C145" t="s">
        <v>24</v>
      </c>
      <c r="D145" t="s">
        <v>25</v>
      </c>
      <c r="E145" t="s">
        <v>28</v>
      </c>
      <c r="F145" t="s">
        <v>29</v>
      </c>
      <c r="G145" t="s">
        <v>30</v>
      </c>
      <c r="H145">
        <v>3156</v>
      </c>
      <c r="I145">
        <v>0.5</v>
      </c>
      <c r="J145">
        <v>0.61272971634046702</v>
      </c>
      <c r="K145">
        <v>-0.112729716340467</v>
      </c>
      <c r="L145">
        <v>-0.12739784419536501</v>
      </c>
      <c r="M145">
        <v>-9.8780214786529499E-2</v>
      </c>
      <c r="Q145">
        <v>10000</v>
      </c>
      <c r="R145" t="s">
        <v>31</v>
      </c>
      <c r="S145">
        <v>-0.112729716340467</v>
      </c>
      <c r="T145" t="s">
        <v>24</v>
      </c>
      <c r="U145" s="1">
        <v>9.9990000999900002E-5</v>
      </c>
      <c r="V145">
        <v>7.9992000799920002E-4</v>
      </c>
      <c r="W145" t="b">
        <v>1</v>
      </c>
      <c r="X145">
        <v>8</v>
      </c>
      <c r="Y145">
        <v>0</v>
      </c>
      <c r="Z145">
        <v>10000</v>
      </c>
      <c r="AA145">
        <v>10000</v>
      </c>
    </row>
    <row r="146" spans="1:27" x14ac:dyDescent="0.2">
      <c r="A146" t="s">
        <v>54</v>
      </c>
      <c r="B146" t="s">
        <v>55</v>
      </c>
      <c r="C146" t="s">
        <v>24</v>
      </c>
      <c r="D146" t="s">
        <v>25</v>
      </c>
      <c r="E146" t="s">
        <v>28</v>
      </c>
      <c r="F146" t="s">
        <v>29</v>
      </c>
      <c r="G146" t="s">
        <v>32</v>
      </c>
      <c r="H146">
        <v>3156</v>
      </c>
      <c r="J146">
        <v>0.34712569906073598</v>
      </c>
      <c r="Q146">
        <v>0</v>
      </c>
      <c r="R146" t="s">
        <v>31</v>
      </c>
      <c r="T146" t="s">
        <v>53</v>
      </c>
      <c r="U146" s="1">
        <v>9.9990000999900002E-5</v>
      </c>
      <c r="V146">
        <v>7.9992000799920002E-4</v>
      </c>
      <c r="W146" t="b">
        <v>1</v>
      </c>
      <c r="X146">
        <v>8</v>
      </c>
      <c r="Y146">
        <v>0</v>
      </c>
      <c r="Z146">
        <v>10000</v>
      </c>
      <c r="AA146">
        <v>10000</v>
      </c>
    </row>
    <row r="147" spans="1:27" x14ac:dyDescent="0.2">
      <c r="A147" t="s">
        <v>54</v>
      </c>
      <c r="B147" t="s">
        <v>55</v>
      </c>
      <c r="C147" t="s">
        <v>24</v>
      </c>
      <c r="D147" t="s">
        <v>25</v>
      </c>
      <c r="E147" t="s">
        <v>28</v>
      </c>
      <c r="F147" t="s">
        <v>29</v>
      </c>
      <c r="G147" t="s">
        <v>33</v>
      </c>
      <c r="H147">
        <v>3156</v>
      </c>
      <c r="J147">
        <v>0.3861852433281</v>
      </c>
      <c r="Q147">
        <v>0</v>
      </c>
      <c r="R147" t="s">
        <v>31</v>
      </c>
      <c r="T147" t="s">
        <v>53</v>
      </c>
      <c r="U147" s="1">
        <v>9.9990000999900002E-5</v>
      </c>
      <c r="V147">
        <v>7.9992000799920002E-4</v>
      </c>
      <c r="W147" t="b">
        <v>1</v>
      </c>
      <c r="X147">
        <v>8</v>
      </c>
      <c r="Y147">
        <v>0</v>
      </c>
      <c r="Z147">
        <v>10000</v>
      </c>
      <c r="AA147">
        <v>10000</v>
      </c>
    </row>
    <row r="148" spans="1:27" x14ac:dyDescent="0.2">
      <c r="A148" t="s">
        <v>54</v>
      </c>
      <c r="B148" t="s">
        <v>55</v>
      </c>
      <c r="C148" t="s">
        <v>24</v>
      </c>
      <c r="D148" t="s">
        <v>25</v>
      </c>
      <c r="E148" t="s">
        <v>28</v>
      </c>
      <c r="F148" t="s">
        <v>29</v>
      </c>
      <c r="G148" t="s">
        <v>34</v>
      </c>
      <c r="H148">
        <v>3156</v>
      </c>
      <c r="J148">
        <v>0.78594249201277899</v>
      </c>
      <c r="Q148">
        <v>0</v>
      </c>
      <c r="R148" t="s">
        <v>31</v>
      </c>
      <c r="T148" t="s">
        <v>53</v>
      </c>
      <c r="U148" s="1">
        <v>9.9990000999900002E-5</v>
      </c>
      <c r="V148">
        <v>7.9992000799920002E-4</v>
      </c>
      <c r="W148" t="b">
        <v>1</v>
      </c>
      <c r="X148">
        <v>8</v>
      </c>
      <c r="Y148">
        <v>0</v>
      </c>
      <c r="Z148">
        <v>10000</v>
      </c>
      <c r="AA148">
        <v>10000</v>
      </c>
    </row>
    <row r="149" spans="1:27" x14ac:dyDescent="0.2">
      <c r="A149" t="s">
        <v>54</v>
      </c>
      <c r="B149" t="s">
        <v>55</v>
      </c>
      <c r="C149" t="s">
        <v>24</v>
      </c>
      <c r="D149" t="s">
        <v>25</v>
      </c>
      <c r="E149" t="s">
        <v>28</v>
      </c>
      <c r="F149" t="s">
        <v>29</v>
      </c>
      <c r="G149" t="s">
        <v>35</v>
      </c>
      <c r="H149">
        <v>3156</v>
      </c>
      <c r="I149">
        <v>0</v>
      </c>
      <c r="J149">
        <v>0.25598335067637801</v>
      </c>
      <c r="K149">
        <v>-0.25598335067637801</v>
      </c>
      <c r="L149">
        <v>-0.28407907485961897</v>
      </c>
      <c r="M149">
        <v>-0.228928193449974</v>
      </c>
      <c r="Q149">
        <v>10000</v>
      </c>
      <c r="R149" t="s">
        <v>31</v>
      </c>
      <c r="S149">
        <v>-0.25598335067637801</v>
      </c>
      <c r="T149" t="s">
        <v>24</v>
      </c>
      <c r="U149" s="1">
        <v>9.9990000999900002E-5</v>
      </c>
      <c r="V149">
        <v>7.9992000799920002E-4</v>
      </c>
      <c r="W149" t="b">
        <v>1</v>
      </c>
      <c r="X149">
        <v>8</v>
      </c>
      <c r="Y149">
        <v>0</v>
      </c>
      <c r="Z149">
        <v>10000</v>
      </c>
      <c r="AA149">
        <v>10000</v>
      </c>
    </row>
    <row r="150" spans="1:27" x14ac:dyDescent="0.2">
      <c r="A150" t="s">
        <v>54</v>
      </c>
      <c r="B150" t="s">
        <v>55</v>
      </c>
      <c r="C150" t="s">
        <v>24</v>
      </c>
      <c r="D150" t="s">
        <v>25</v>
      </c>
      <c r="E150" t="s">
        <v>28</v>
      </c>
      <c r="F150" t="s">
        <v>29</v>
      </c>
      <c r="G150" t="s">
        <v>36</v>
      </c>
      <c r="H150">
        <v>3156</v>
      </c>
      <c r="I150">
        <v>961</v>
      </c>
      <c r="J150">
        <v>715</v>
      </c>
      <c r="K150">
        <v>246</v>
      </c>
      <c r="L150">
        <v>220</v>
      </c>
      <c r="M150">
        <v>273</v>
      </c>
      <c r="Q150">
        <v>10000</v>
      </c>
      <c r="R150" t="s">
        <v>37</v>
      </c>
      <c r="S150">
        <v>-246</v>
      </c>
      <c r="T150" t="s">
        <v>24</v>
      </c>
      <c r="U150" s="1">
        <v>9.9990000999900002E-5</v>
      </c>
      <c r="V150">
        <v>7.9992000799920002E-4</v>
      </c>
      <c r="W150" t="b">
        <v>1</v>
      </c>
      <c r="X150">
        <v>8</v>
      </c>
      <c r="Y150">
        <v>0</v>
      </c>
      <c r="Z150">
        <v>10000</v>
      </c>
      <c r="AA150">
        <v>10000</v>
      </c>
    </row>
    <row r="151" spans="1:27" x14ac:dyDescent="0.2">
      <c r="A151" t="s">
        <v>54</v>
      </c>
      <c r="B151" t="s">
        <v>55</v>
      </c>
      <c r="C151" t="s">
        <v>24</v>
      </c>
      <c r="D151" t="s">
        <v>25</v>
      </c>
      <c r="E151" t="s">
        <v>28</v>
      </c>
      <c r="F151" t="s">
        <v>29</v>
      </c>
      <c r="G151" t="s">
        <v>38</v>
      </c>
      <c r="H151">
        <v>3156</v>
      </c>
      <c r="I151">
        <v>0.30432319464579999</v>
      </c>
      <c r="J151">
        <v>0.63059930879460202</v>
      </c>
      <c r="K151">
        <v>-0.32627611414880198</v>
      </c>
      <c r="L151">
        <v>-0.35348087847232801</v>
      </c>
      <c r="M151">
        <v>-0.29916801750659899</v>
      </c>
      <c r="Q151">
        <v>10000</v>
      </c>
      <c r="R151" t="s">
        <v>31</v>
      </c>
      <c r="S151">
        <v>-0.32627611414880198</v>
      </c>
      <c r="T151" t="s">
        <v>24</v>
      </c>
      <c r="U151" s="1">
        <v>9.9990000999900002E-5</v>
      </c>
      <c r="V151">
        <v>7.9992000799920002E-4</v>
      </c>
      <c r="W151" t="b">
        <v>1</v>
      </c>
      <c r="X151">
        <v>8</v>
      </c>
      <c r="Y151">
        <v>0</v>
      </c>
      <c r="Z151">
        <v>10000</v>
      </c>
      <c r="AA151">
        <v>10000</v>
      </c>
    </row>
    <row r="152" spans="1:27" x14ac:dyDescent="0.2">
      <c r="A152" t="s">
        <v>54</v>
      </c>
      <c r="B152" t="s">
        <v>55</v>
      </c>
      <c r="C152" t="s">
        <v>24</v>
      </c>
      <c r="D152" t="s">
        <v>25</v>
      </c>
      <c r="E152" t="s">
        <v>28</v>
      </c>
      <c r="F152" t="s">
        <v>29</v>
      </c>
      <c r="G152" t="s">
        <v>39</v>
      </c>
      <c r="H152">
        <v>3156</v>
      </c>
      <c r="I152">
        <v>0.49958376690946898</v>
      </c>
      <c r="J152">
        <v>0.768577720151986</v>
      </c>
      <c r="K152">
        <v>-0.26899395324251701</v>
      </c>
      <c r="L152">
        <v>-0.28693209588527602</v>
      </c>
      <c r="M152">
        <v>-0.25038657188415497</v>
      </c>
      <c r="Q152">
        <v>10000</v>
      </c>
      <c r="R152" t="s">
        <v>31</v>
      </c>
      <c r="S152">
        <v>-0.26899395324251701</v>
      </c>
      <c r="T152" t="s">
        <v>24</v>
      </c>
      <c r="U152" s="1">
        <v>9.9990000999900002E-5</v>
      </c>
      <c r="V152">
        <v>7.9992000799920002E-4</v>
      </c>
      <c r="W152" t="b">
        <v>1</v>
      </c>
      <c r="X152">
        <v>8</v>
      </c>
      <c r="Y152">
        <v>0</v>
      </c>
      <c r="Z152">
        <v>10000</v>
      </c>
      <c r="AA152">
        <v>10000</v>
      </c>
    </row>
    <row r="153" spans="1:27" x14ac:dyDescent="0.2">
      <c r="A153" t="s">
        <v>54</v>
      </c>
      <c r="B153" t="s">
        <v>55</v>
      </c>
      <c r="C153" t="s">
        <v>24</v>
      </c>
      <c r="D153" t="s">
        <v>25</v>
      </c>
      <c r="E153" t="s">
        <v>40</v>
      </c>
      <c r="F153" t="s">
        <v>41</v>
      </c>
      <c r="G153" t="s">
        <v>30</v>
      </c>
      <c r="H153">
        <v>2391</v>
      </c>
      <c r="I153">
        <v>0.5</v>
      </c>
      <c r="J153">
        <v>0.60511231217822703</v>
      </c>
      <c r="K153">
        <v>-0.105112312178227</v>
      </c>
      <c r="L153">
        <v>-0.120664477348327</v>
      </c>
      <c r="M153">
        <v>-9.0461790561675998E-2</v>
      </c>
      <c r="Q153">
        <v>10000</v>
      </c>
      <c r="R153" t="s">
        <v>31</v>
      </c>
      <c r="S153">
        <v>-0.105112312178227</v>
      </c>
      <c r="T153" t="s">
        <v>24</v>
      </c>
      <c r="U153" s="1">
        <v>9.9990000999900002E-5</v>
      </c>
      <c r="V153">
        <v>7.9992000799920002E-4</v>
      </c>
      <c r="W153" t="b">
        <v>1</v>
      </c>
      <c r="X153">
        <v>8</v>
      </c>
      <c r="Y153">
        <v>0</v>
      </c>
      <c r="Z153">
        <v>10000</v>
      </c>
      <c r="AA153">
        <v>10000</v>
      </c>
    </row>
    <row r="154" spans="1:27" x14ac:dyDescent="0.2">
      <c r="A154" t="s">
        <v>54</v>
      </c>
      <c r="B154" t="s">
        <v>55</v>
      </c>
      <c r="C154" t="s">
        <v>24</v>
      </c>
      <c r="D154" t="s">
        <v>25</v>
      </c>
      <c r="E154" t="s">
        <v>40</v>
      </c>
      <c r="F154" t="s">
        <v>41</v>
      </c>
      <c r="G154" t="s">
        <v>32</v>
      </c>
      <c r="H154">
        <v>2391</v>
      </c>
      <c r="J154">
        <v>0.31884687251506699</v>
      </c>
      <c r="Q154">
        <v>0</v>
      </c>
      <c r="R154" t="s">
        <v>31</v>
      </c>
      <c r="T154" t="s">
        <v>53</v>
      </c>
      <c r="U154" s="1">
        <v>9.9990000999900002E-5</v>
      </c>
      <c r="V154">
        <v>7.9992000799920002E-4</v>
      </c>
      <c r="W154" t="b">
        <v>1</v>
      </c>
      <c r="X154">
        <v>8</v>
      </c>
      <c r="Y154">
        <v>0</v>
      </c>
      <c r="Z154">
        <v>10000</v>
      </c>
      <c r="AA154">
        <v>10000</v>
      </c>
    </row>
    <row r="155" spans="1:27" x14ac:dyDescent="0.2">
      <c r="A155" t="s">
        <v>54</v>
      </c>
      <c r="B155" t="s">
        <v>55</v>
      </c>
      <c r="C155" t="s">
        <v>24</v>
      </c>
      <c r="D155" t="s">
        <v>25</v>
      </c>
      <c r="E155" t="s">
        <v>40</v>
      </c>
      <c r="F155" t="s">
        <v>41</v>
      </c>
      <c r="G155" t="s">
        <v>33</v>
      </c>
      <c r="H155">
        <v>2391</v>
      </c>
      <c r="J155">
        <v>0.37696335078533999</v>
      </c>
      <c r="Q155">
        <v>0</v>
      </c>
      <c r="R155" t="s">
        <v>31</v>
      </c>
      <c r="T155" t="s">
        <v>53</v>
      </c>
      <c r="U155" s="1">
        <v>9.9990000999900002E-5</v>
      </c>
      <c r="V155">
        <v>7.9992000799920002E-4</v>
      </c>
      <c r="W155" t="b">
        <v>1</v>
      </c>
      <c r="X155">
        <v>8</v>
      </c>
      <c r="Y155">
        <v>0</v>
      </c>
      <c r="Z155">
        <v>10000</v>
      </c>
      <c r="AA155">
        <v>10000</v>
      </c>
    </row>
    <row r="156" spans="1:27" x14ac:dyDescent="0.2">
      <c r="A156" t="s">
        <v>54</v>
      </c>
      <c r="B156" t="s">
        <v>55</v>
      </c>
      <c r="C156" t="s">
        <v>24</v>
      </c>
      <c r="D156" t="s">
        <v>25</v>
      </c>
      <c r="E156" t="s">
        <v>40</v>
      </c>
      <c r="F156" t="s">
        <v>41</v>
      </c>
      <c r="G156" t="s">
        <v>34</v>
      </c>
      <c r="H156">
        <v>2391</v>
      </c>
      <c r="J156">
        <v>0.79411764705882304</v>
      </c>
      <c r="Q156">
        <v>0</v>
      </c>
      <c r="R156" t="s">
        <v>31</v>
      </c>
      <c r="T156" t="s">
        <v>53</v>
      </c>
      <c r="U156" s="1">
        <v>9.9990000999900002E-5</v>
      </c>
      <c r="V156">
        <v>7.9992000799920002E-4</v>
      </c>
      <c r="W156" t="b">
        <v>1</v>
      </c>
      <c r="X156">
        <v>8</v>
      </c>
      <c r="Y156">
        <v>0</v>
      </c>
      <c r="Z156">
        <v>10000</v>
      </c>
      <c r="AA156">
        <v>10000</v>
      </c>
    </row>
    <row r="157" spans="1:27" x14ac:dyDescent="0.2">
      <c r="A157" t="s">
        <v>54</v>
      </c>
      <c r="B157" t="s">
        <v>55</v>
      </c>
      <c r="C157" t="s">
        <v>24</v>
      </c>
      <c r="D157" t="s">
        <v>25</v>
      </c>
      <c r="E157" t="s">
        <v>40</v>
      </c>
      <c r="F157" t="s">
        <v>41</v>
      </c>
      <c r="G157" t="s">
        <v>35</v>
      </c>
      <c r="H157">
        <v>2391</v>
      </c>
      <c r="I157">
        <v>0</v>
      </c>
      <c r="J157">
        <v>0.24713958810068601</v>
      </c>
      <c r="K157">
        <v>-0.24713958810068601</v>
      </c>
      <c r="L157">
        <v>-0.27688786387443498</v>
      </c>
      <c r="M157">
        <v>-0.21967963874339999</v>
      </c>
      <c r="Q157">
        <v>10000</v>
      </c>
      <c r="R157" t="s">
        <v>31</v>
      </c>
      <c r="S157">
        <v>-0.24713958810068601</v>
      </c>
      <c r="T157" t="s">
        <v>24</v>
      </c>
      <c r="U157" s="1">
        <v>9.9990000999900002E-5</v>
      </c>
      <c r="V157">
        <v>7.9992000799920002E-4</v>
      </c>
      <c r="W157" t="b">
        <v>1</v>
      </c>
      <c r="X157">
        <v>8</v>
      </c>
      <c r="Y157">
        <v>0</v>
      </c>
      <c r="Z157">
        <v>10000</v>
      </c>
      <c r="AA157">
        <v>10000</v>
      </c>
    </row>
    <row r="158" spans="1:27" x14ac:dyDescent="0.2">
      <c r="A158" t="s">
        <v>54</v>
      </c>
      <c r="B158" t="s">
        <v>55</v>
      </c>
      <c r="C158" t="s">
        <v>24</v>
      </c>
      <c r="D158" t="s">
        <v>25</v>
      </c>
      <c r="E158" t="s">
        <v>40</v>
      </c>
      <c r="F158" t="s">
        <v>41</v>
      </c>
      <c r="G158" t="s">
        <v>36</v>
      </c>
      <c r="H158">
        <v>2391</v>
      </c>
      <c r="I158">
        <v>874</v>
      </c>
      <c r="J158">
        <v>658</v>
      </c>
      <c r="K158">
        <v>216</v>
      </c>
      <c r="L158">
        <v>192</v>
      </c>
      <c r="M158">
        <v>242</v>
      </c>
      <c r="Q158">
        <v>10000</v>
      </c>
      <c r="R158" t="s">
        <v>37</v>
      </c>
      <c r="S158">
        <v>-216</v>
      </c>
      <c r="T158" t="s">
        <v>24</v>
      </c>
      <c r="U158" s="1">
        <v>9.9990000999900002E-5</v>
      </c>
      <c r="V158">
        <v>7.9992000799920002E-4</v>
      </c>
      <c r="W158" t="b">
        <v>1</v>
      </c>
      <c r="X158">
        <v>8</v>
      </c>
      <c r="Y158">
        <v>0</v>
      </c>
      <c r="Z158">
        <v>10000</v>
      </c>
      <c r="AA158">
        <v>10000</v>
      </c>
    </row>
    <row r="159" spans="1:27" x14ac:dyDescent="0.2">
      <c r="A159" t="s">
        <v>54</v>
      </c>
      <c r="B159" t="s">
        <v>55</v>
      </c>
      <c r="C159" t="s">
        <v>24</v>
      </c>
      <c r="D159" t="s">
        <v>25</v>
      </c>
      <c r="E159" t="s">
        <v>40</v>
      </c>
      <c r="F159" t="s">
        <v>41</v>
      </c>
      <c r="G159" t="s">
        <v>38</v>
      </c>
      <c r="H159">
        <v>2391</v>
      </c>
      <c r="I159">
        <v>0.36557609459197499</v>
      </c>
      <c r="J159">
        <v>0.65112240052524994</v>
      </c>
      <c r="K159">
        <v>-0.28554630593327401</v>
      </c>
      <c r="L159">
        <v>-0.31404265314340502</v>
      </c>
      <c r="M159">
        <v>-0.25870636850595402</v>
      </c>
      <c r="Q159">
        <v>10000</v>
      </c>
      <c r="R159" t="s">
        <v>31</v>
      </c>
      <c r="S159">
        <v>-0.28554630593327401</v>
      </c>
      <c r="T159" t="s">
        <v>24</v>
      </c>
      <c r="U159" s="1">
        <v>9.9990000999900002E-5</v>
      </c>
      <c r="V159">
        <v>7.9992000799920002E-4</v>
      </c>
      <c r="W159" t="b">
        <v>1</v>
      </c>
      <c r="X159">
        <v>8</v>
      </c>
      <c r="Y159">
        <v>0</v>
      </c>
      <c r="Z159">
        <v>10000</v>
      </c>
      <c r="AA159">
        <v>10000</v>
      </c>
    </row>
    <row r="160" spans="1:27" x14ac:dyDescent="0.2">
      <c r="A160" t="s">
        <v>54</v>
      </c>
      <c r="B160" t="s">
        <v>55</v>
      </c>
      <c r="C160" t="s">
        <v>24</v>
      </c>
      <c r="D160" t="s">
        <v>25</v>
      </c>
      <c r="E160" t="s">
        <v>40</v>
      </c>
      <c r="F160" t="s">
        <v>41</v>
      </c>
      <c r="G160" t="s">
        <v>39</v>
      </c>
      <c r="H160">
        <v>2391</v>
      </c>
      <c r="I160">
        <v>0.50008334225837103</v>
      </c>
      <c r="J160">
        <v>0.74294306026738899</v>
      </c>
      <c r="K160">
        <v>-0.24285971800901701</v>
      </c>
      <c r="L160">
        <v>-0.263204428553581</v>
      </c>
      <c r="M160">
        <v>-0.22236404269933699</v>
      </c>
      <c r="Q160">
        <v>10000</v>
      </c>
      <c r="R160" t="s">
        <v>31</v>
      </c>
      <c r="S160">
        <v>-0.24285971800901701</v>
      </c>
      <c r="T160" t="s">
        <v>24</v>
      </c>
      <c r="U160" s="1">
        <v>9.9990000999900002E-5</v>
      </c>
      <c r="V160">
        <v>7.9992000799920002E-4</v>
      </c>
      <c r="W160" t="b">
        <v>1</v>
      </c>
      <c r="X160">
        <v>8</v>
      </c>
      <c r="Y160">
        <v>0</v>
      </c>
      <c r="Z160">
        <v>10000</v>
      </c>
      <c r="AA160">
        <v>10000</v>
      </c>
    </row>
    <row r="161" spans="1:27" x14ac:dyDescent="0.2">
      <c r="A161" t="s">
        <v>54</v>
      </c>
      <c r="B161" t="s">
        <v>55</v>
      </c>
      <c r="C161" t="s">
        <v>24</v>
      </c>
      <c r="D161" t="s">
        <v>25</v>
      </c>
      <c r="E161" t="s">
        <v>49</v>
      </c>
      <c r="F161" t="s">
        <v>50</v>
      </c>
      <c r="G161" t="s">
        <v>30</v>
      </c>
      <c r="H161">
        <v>765</v>
      </c>
      <c r="I161">
        <v>0.5</v>
      </c>
      <c r="J161">
        <v>0.66430169870816802</v>
      </c>
      <c r="K161">
        <v>-0.16430169870816799</v>
      </c>
      <c r="L161">
        <v>-0.21249109506607</v>
      </c>
      <c r="M161">
        <v>-0.116849780082702</v>
      </c>
      <c r="Q161">
        <v>10000</v>
      </c>
      <c r="R161" t="s">
        <v>31</v>
      </c>
      <c r="S161">
        <v>-0.16430169870816799</v>
      </c>
      <c r="T161" t="s">
        <v>24</v>
      </c>
      <c r="U161" s="1">
        <v>9.9990000999900002E-5</v>
      </c>
      <c r="V161">
        <v>7.9992000799920002E-4</v>
      </c>
      <c r="W161" t="b">
        <v>1</v>
      </c>
      <c r="X161">
        <v>8</v>
      </c>
      <c r="Y161">
        <v>0</v>
      </c>
      <c r="Z161">
        <v>10000</v>
      </c>
      <c r="AA161">
        <v>10000</v>
      </c>
    </row>
    <row r="162" spans="1:27" x14ac:dyDescent="0.2">
      <c r="A162" t="s">
        <v>54</v>
      </c>
      <c r="B162" t="s">
        <v>55</v>
      </c>
      <c r="C162" t="s">
        <v>24</v>
      </c>
      <c r="D162" t="s">
        <v>25</v>
      </c>
      <c r="E162" t="s">
        <v>49</v>
      </c>
      <c r="F162" t="s">
        <v>50</v>
      </c>
      <c r="G162" t="s">
        <v>32</v>
      </c>
      <c r="H162">
        <v>765</v>
      </c>
      <c r="J162">
        <v>0.46321787620895799</v>
      </c>
      <c r="Q162">
        <v>0</v>
      </c>
      <c r="R162" t="s">
        <v>31</v>
      </c>
      <c r="T162" t="s">
        <v>53</v>
      </c>
      <c r="U162" s="1">
        <v>9.9990000999900002E-5</v>
      </c>
      <c r="V162">
        <v>7.9992000799920002E-4</v>
      </c>
      <c r="W162" t="b">
        <v>1</v>
      </c>
      <c r="X162">
        <v>8</v>
      </c>
      <c r="Y162">
        <v>0</v>
      </c>
      <c r="Z162">
        <v>10000</v>
      </c>
      <c r="AA162">
        <v>10000</v>
      </c>
    </row>
    <row r="163" spans="1:27" x14ac:dyDescent="0.2">
      <c r="A163" t="s">
        <v>54</v>
      </c>
      <c r="B163" t="s">
        <v>55</v>
      </c>
      <c r="C163" t="s">
        <v>24</v>
      </c>
      <c r="D163" t="s">
        <v>25</v>
      </c>
      <c r="E163" t="s">
        <v>49</v>
      </c>
      <c r="F163" t="s">
        <v>50</v>
      </c>
      <c r="G163" t="s">
        <v>33</v>
      </c>
      <c r="H163">
        <v>765</v>
      </c>
      <c r="J163">
        <v>0.46875</v>
      </c>
      <c r="Q163">
        <v>0</v>
      </c>
      <c r="R163" t="s">
        <v>31</v>
      </c>
      <c r="T163" t="s">
        <v>53</v>
      </c>
      <c r="U163" s="1">
        <v>9.9990000999900002E-5</v>
      </c>
      <c r="V163">
        <v>7.9992000799920002E-4</v>
      </c>
      <c r="W163" t="b">
        <v>1</v>
      </c>
      <c r="X163">
        <v>8</v>
      </c>
      <c r="Y163">
        <v>0</v>
      </c>
      <c r="Z163">
        <v>10000</v>
      </c>
      <c r="AA163">
        <v>10000</v>
      </c>
    </row>
    <row r="164" spans="1:27" x14ac:dyDescent="0.2">
      <c r="A164" t="s">
        <v>54</v>
      </c>
      <c r="B164" t="s">
        <v>55</v>
      </c>
      <c r="C164" t="s">
        <v>24</v>
      </c>
      <c r="D164" t="s">
        <v>25</v>
      </c>
      <c r="E164" t="s">
        <v>49</v>
      </c>
      <c r="F164" t="s">
        <v>50</v>
      </c>
      <c r="G164" t="s">
        <v>34</v>
      </c>
      <c r="H164">
        <v>765</v>
      </c>
      <c r="J164">
        <v>0.73170731707317005</v>
      </c>
      <c r="Q164">
        <v>0</v>
      </c>
      <c r="R164" t="s">
        <v>31</v>
      </c>
      <c r="T164" t="s">
        <v>53</v>
      </c>
      <c r="U164" s="1">
        <v>9.9990000999900002E-5</v>
      </c>
      <c r="V164">
        <v>7.9992000799920002E-4</v>
      </c>
      <c r="W164" t="b">
        <v>1</v>
      </c>
      <c r="X164">
        <v>8</v>
      </c>
      <c r="Y164">
        <v>0</v>
      </c>
      <c r="Z164">
        <v>10000</v>
      </c>
      <c r="AA164">
        <v>10000</v>
      </c>
    </row>
    <row r="165" spans="1:27" x14ac:dyDescent="0.2">
      <c r="A165" t="s">
        <v>54</v>
      </c>
      <c r="B165" t="s">
        <v>55</v>
      </c>
      <c r="C165" t="s">
        <v>24</v>
      </c>
      <c r="D165" t="s">
        <v>25</v>
      </c>
      <c r="E165" t="s">
        <v>49</v>
      </c>
      <c r="F165" t="s">
        <v>50</v>
      </c>
      <c r="G165" t="s">
        <v>35</v>
      </c>
      <c r="H165">
        <v>765</v>
      </c>
      <c r="I165">
        <v>0</v>
      </c>
      <c r="J165">
        <v>0.34482758620689602</v>
      </c>
      <c r="K165">
        <v>-0.34482758620689602</v>
      </c>
      <c r="L165">
        <v>-0.43678161501884399</v>
      </c>
      <c r="M165">
        <v>-0.25287356972694303</v>
      </c>
      <c r="Q165">
        <v>10000</v>
      </c>
      <c r="R165" t="s">
        <v>31</v>
      </c>
      <c r="S165">
        <v>-0.34482758620689602</v>
      </c>
      <c r="T165" t="s">
        <v>24</v>
      </c>
      <c r="U165" s="1">
        <v>9.9990000999900002E-5</v>
      </c>
      <c r="V165">
        <v>7.9992000799920002E-4</v>
      </c>
      <c r="W165" t="b">
        <v>1</v>
      </c>
      <c r="X165">
        <v>8</v>
      </c>
      <c r="Y165">
        <v>0</v>
      </c>
      <c r="Z165">
        <v>10000</v>
      </c>
      <c r="AA165">
        <v>10000</v>
      </c>
    </row>
    <row r="166" spans="1:27" x14ac:dyDescent="0.2">
      <c r="A166" t="s">
        <v>54</v>
      </c>
      <c r="B166" t="s">
        <v>55</v>
      </c>
      <c r="C166" t="s">
        <v>24</v>
      </c>
      <c r="D166" t="s">
        <v>25</v>
      </c>
      <c r="E166" t="s">
        <v>49</v>
      </c>
      <c r="F166" t="s">
        <v>50</v>
      </c>
      <c r="G166" t="s">
        <v>36</v>
      </c>
      <c r="H166">
        <v>765</v>
      </c>
      <c r="I166">
        <v>87</v>
      </c>
      <c r="J166">
        <v>57</v>
      </c>
      <c r="K166">
        <v>30</v>
      </c>
      <c r="L166">
        <v>22</v>
      </c>
      <c r="M166">
        <v>38</v>
      </c>
      <c r="Q166">
        <v>10000</v>
      </c>
      <c r="R166" t="s">
        <v>37</v>
      </c>
      <c r="S166">
        <v>-30</v>
      </c>
      <c r="T166" t="s">
        <v>24</v>
      </c>
      <c r="U166" s="1">
        <v>9.9990000999900002E-5</v>
      </c>
      <c r="V166">
        <v>7.9992000799920002E-4</v>
      </c>
      <c r="W166" t="b">
        <v>1</v>
      </c>
      <c r="X166">
        <v>8</v>
      </c>
      <c r="Y166">
        <v>0</v>
      </c>
      <c r="Z166">
        <v>10000</v>
      </c>
      <c r="AA166">
        <v>10000</v>
      </c>
    </row>
    <row r="167" spans="1:27" x14ac:dyDescent="0.2">
      <c r="A167" t="s">
        <v>54</v>
      </c>
      <c r="B167" t="s">
        <v>55</v>
      </c>
      <c r="C167" t="s">
        <v>24</v>
      </c>
      <c r="D167" t="s">
        <v>25</v>
      </c>
      <c r="E167" t="s">
        <v>49</v>
      </c>
      <c r="F167" t="s">
        <v>50</v>
      </c>
      <c r="G167" t="s">
        <v>38</v>
      </c>
      <c r="H167">
        <v>765</v>
      </c>
      <c r="I167">
        <v>0.112947937795807</v>
      </c>
      <c r="J167">
        <v>0.60769699832702695</v>
      </c>
      <c r="K167">
        <v>-0.49474906053121898</v>
      </c>
      <c r="L167">
        <v>-0.58259125500917397</v>
      </c>
      <c r="M167">
        <v>-0.40982366055250102</v>
      </c>
      <c r="Q167">
        <v>10000</v>
      </c>
      <c r="R167" t="s">
        <v>31</v>
      </c>
      <c r="S167">
        <v>-0.49474906053121898</v>
      </c>
      <c r="T167" t="s">
        <v>24</v>
      </c>
      <c r="U167" s="1">
        <v>9.9990000999900002E-5</v>
      </c>
      <c r="V167">
        <v>7.9992000799920002E-4</v>
      </c>
      <c r="W167" t="b">
        <v>1</v>
      </c>
      <c r="X167">
        <v>8</v>
      </c>
      <c r="Y167">
        <v>0</v>
      </c>
      <c r="Z167">
        <v>10000</v>
      </c>
      <c r="AA167">
        <v>10000</v>
      </c>
    </row>
    <row r="168" spans="1:27" x14ac:dyDescent="0.2">
      <c r="A168" t="s">
        <v>54</v>
      </c>
      <c r="B168" t="s">
        <v>55</v>
      </c>
      <c r="C168" t="s">
        <v>24</v>
      </c>
      <c r="D168" t="s">
        <v>25</v>
      </c>
      <c r="E168" t="s">
        <v>49</v>
      </c>
      <c r="F168" t="s">
        <v>50</v>
      </c>
      <c r="G168" t="s">
        <v>39</v>
      </c>
      <c r="H168">
        <v>765</v>
      </c>
      <c r="I168">
        <v>0.49610924626182401</v>
      </c>
      <c r="J168">
        <v>0.90114603465229004</v>
      </c>
      <c r="K168">
        <v>-0.40503678839046497</v>
      </c>
      <c r="L168">
        <v>-0.43253523856401399</v>
      </c>
      <c r="M168">
        <v>-0.37528226077556598</v>
      </c>
      <c r="Q168">
        <v>10000</v>
      </c>
      <c r="R168" t="s">
        <v>31</v>
      </c>
      <c r="S168">
        <v>-0.40503678839046497</v>
      </c>
      <c r="T168" t="s">
        <v>24</v>
      </c>
      <c r="U168" s="1">
        <v>9.9990000999900002E-5</v>
      </c>
      <c r="V168">
        <v>7.9992000799920002E-4</v>
      </c>
      <c r="W168" t="b">
        <v>1</v>
      </c>
      <c r="X168">
        <v>8</v>
      </c>
      <c r="Y168">
        <v>0</v>
      </c>
      <c r="Z168">
        <v>10000</v>
      </c>
      <c r="AA168">
        <v>10000</v>
      </c>
    </row>
    <row r="169" spans="1:27" x14ac:dyDescent="0.2">
      <c r="A169" t="s">
        <v>54</v>
      </c>
      <c r="B169" t="s">
        <v>55</v>
      </c>
      <c r="C169" t="s">
        <v>56</v>
      </c>
      <c r="D169" t="s">
        <v>57</v>
      </c>
      <c r="E169" t="s">
        <v>28</v>
      </c>
      <c r="F169" t="s">
        <v>29</v>
      </c>
      <c r="G169" t="s">
        <v>30</v>
      </c>
      <c r="H169">
        <v>3156</v>
      </c>
      <c r="I169">
        <v>0.5</v>
      </c>
      <c r="J169">
        <v>0.58577554227633899</v>
      </c>
      <c r="K169">
        <v>-8.5775542276339795E-2</v>
      </c>
      <c r="L169">
        <v>-9.8656709492206507E-2</v>
      </c>
      <c r="M169">
        <v>-7.3349891602993003E-2</v>
      </c>
      <c r="Q169">
        <v>10000</v>
      </c>
      <c r="R169" t="s">
        <v>31</v>
      </c>
      <c r="S169">
        <v>-8.5775542276339795E-2</v>
      </c>
      <c r="T169" t="s">
        <v>56</v>
      </c>
      <c r="U169" s="1">
        <v>9.9990000999900002E-5</v>
      </c>
      <c r="V169">
        <v>7.9992000799920002E-4</v>
      </c>
      <c r="W169" t="b">
        <v>1</v>
      </c>
      <c r="X169">
        <v>8</v>
      </c>
      <c r="Y169">
        <v>0</v>
      </c>
      <c r="Z169">
        <v>10000</v>
      </c>
      <c r="AA169">
        <v>10000</v>
      </c>
    </row>
    <row r="170" spans="1:27" x14ac:dyDescent="0.2">
      <c r="A170" t="s">
        <v>54</v>
      </c>
      <c r="B170" t="s">
        <v>55</v>
      </c>
      <c r="C170" t="s">
        <v>56</v>
      </c>
      <c r="D170" t="s">
        <v>57</v>
      </c>
      <c r="E170" t="s">
        <v>28</v>
      </c>
      <c r="F170" t="s">
        <v>29</v>
      </c>
      <c r="G170" t="s">
        <v>32</v>
      </c>
      <c r="H170">
        <v>3156</v>
      </c>
      <c r="J170">
        <v>0.303112257443857</v>
      </c>
      <c r="Q170">
        <v>0</v>
      </c>
      <c r="R170" t="s">
        <v>31</v>
      </c>
      <c r="T170" t="s">
        <v>53</v>
      </c>
      <c r="U170" s="1">
        <v>9.9990000999900002E-5</v>
      </c>
      <c r="V170">
        <v>7.9992000799920002E-4</v>
      </c>
      <c r="W170" t="b">
        <v>1</v>
      </c>
      <c r="X170">
        <v>8</v>
      </c>
      <c r="Y170">
        <v>0</v>
      </c>
      <c r="Z170">
        <v>10000</v>
      </c>
      <c r="AA170">
        <v>10000</v>
      </c>
    </row>
    <row r="171" spans="1:27" x14ac:dyDescent="0.2">
      <c r="A171" t="s">
        <v>54</v>
      </c>
      <c r="B171" t="s">
        <v>55</v>
      </c>
      <c r="C171" t="s">
        <v>56</v>
      </c>
      <c r="D171" t="s">
        <v>57</v>
      </c>
      <c r="E171" t="s">
        <v>28</v>
      </c>
      <c r="F171" t="s">
        <v>29</v>
      </c>
      <c r="G171" t="s">
        <v>33</v>
      </c>
      <c r="H171">
        <v>3156</v>
      </c>
      <c r="J171">
        <v>0.31040268456375802</v>
      </c>
      <c r="Q171">
        <v>0</v>
      </c>
      <c r="R171" t="s">
        <v>31</v>
      </c>
      <c r="T171" t="s">
        <v>53</v>
      </c>
      <c r="U171" s="1">
        <v>9.9990000999900002E-5</v>
      </c>
      <c r="V171">
        <v>7.9992000799920002E-4</v>
      </c>
      <c r="W171" t="b">
        <v>1</v>
      </c>
      <c r="X171">
        <v>8</v>
      </c>
      <c r="Y171">
        <v>0</v>
      </c>
      <c r="Z171">
        <v>10000</v>
      </c>
      <c r="AA171">
        <v>10000</v>
      </c>
    </row>
    <row r="172" spans="1:27" x14ac:dyDescent="0.2">
      <c r="A172" t="s">
        <v>54</v>
      </c>
      <c r="B172" t="s">
        <v>55</v>
      </c>
      <c r="C172" t="s">
        <v>56</v>
      </c>
      <c r="D172" t="s">
        <v>57</v>
      </c>
      <c r="E172" t="s">
        <v>28</v>
      </c>
      <c r="F172" t="s">
        <v>29</v>
      </c>
      <c r="G172" t="s">
        <v>34</v>
      </c>
      <c r="H172">
        <v>3156</v>
      </c>
      <c r="J172">
        <v>0.80086580086579995</v>
      </c>
      <c r="Q172">
        <v>0</v>
      </c>
      <c r="R172" t="s">
        <v>31</v>
      </c>
      <c r="T172" t="s">
        <v>53</v>
      </c>
      <c r="U172" s="1">
        <v>9.9990000999900002E-5</v>
      </c>
      <c r="V172">
        <v>7.9992000799920002E-4</v>
      </c>
      <c r="W172" t="b">
        <v>1</v>
      </c>
      <c r="X172">
        <v>8</v>
      </c>
      <c r="Y172">
        <v>0</v>
      </c>
      <c r="Z172">
        <v>10000</v>
      </c>
      <c r="AA172">
        <v>10000</v>
      </c>
    </row>
    <row r="173" spans="1:27" x14ac:dyDescent="0.2">
      <c r="A173" t="s">
        <v>54</v>
      </c>
      <c r="B173" t="s">
        <v>55</v>
      </c>
      <c r="C173" t="s">
        <v>56</v>
      </c>
      <c r="D173" t="s">
        <v>57</v>
      </c>
      <c r="E173" t="s">
        <v>28</v>
      </c>
      <c r="F173" t="s">
        <v>29</v>
      </c>
      <c r="G173" t="s">
        <v>35</v>
      </c>
      <c r="H173">
        <v>3156</v>
      </c>
      <c r="I173">
        <v>0</v>
      </c>
      <c r="J173">
        <v>0.19250780437044701</v>
      </c>
      <c r="K173">
        <v>-0.19250780437044701</v>
      </c>
      <c r="L173">
        <v>-0.21748179197311401</v>
      </c>
      <c r="M173">
        <v>-0.16857440769672299</v>
      </c>
      <c r="Q173">
        <v>10000</v>
      </c>
      <c r="R173" t="s">
        <v>31</v>
      </c>
      <c r="S173">
        <v>-0.19250780437044701</v>
      </c>
      <c r="T173" t="s">
        <v>56</v>
      </c>
      <c r="U173" s="1">
        <v>9.9990000999900002E-5</v>
      </c>
      <c r="V173">
        <v>7.9992000799920002E-4</v>
      </c>
      <c r="W173" t="b">
        <v>1</v>
      </c>
      <c r="X173">
        <v>8</v>
      </c>
      <c r="Y173">
        <v>0</v>
      </c>
      <c r="Z173">
        <v>10000</v>
      </c>
      <c r="AA173">
        <v>10000</v>
      </c>
    </row>
    <row r="174" spans="1:27" x14ac:dyDescent="0.2">
      <c r="A174" t="s">
        <v>54</v>
      </c>
      <c r="B174" t="s">
        <v>55</v>
      </c>
      <c r="C174" t="s">
        <v>56</v>
      </c>
      <c r="D174" t="s">
        <v>57</v>
      </c>
      <c r="E174" t="s">
        <v>28</v>
      </c>
      <c r="F174" t="s">
        <v>29</v>
      </c>
      <c r="G174" t="s">
        <v>36</v>
      </c>
      <c r="H174">
        <v>3156</v>
      </c>
      <c r="I174">
        <v>961</v>
      </c>
      <c r="J174">
        <v>776</v>
      </c>
      <c r="K174">
        <v>185</v>
      </c>
      <c r="L174">
        <v>162</v>
      </c>
      <c r="M174">
        <v>209</v>
      </c>
      <c r="Q174">
        <v>10000</v>
      </c>
      <c r="R174" t="s">
        <v>37</v>
      </c>
      <c r="S174">
        <v>-185</v>
      </c>
      <c r="T174" t="s">
        <v>56</v>
      </c>
      <c r="U174" s="1">
        <v>9.9990000999900002E-5</v>
      </c>
      <c r="V174">
        <v>7.9992000799920002E-4</v>
      </c>
      <c r="W174" t="b">
        <v>1</v>
      </c>
      <c r="X174">
        <v>8</v>
      </c>
      <c r="Y174">
        <v>0</v>
      </c>
      <c r="Z174">
        <v>10000</v>
      </c>
      <c r="AA174">
        <v>10000</v>
      </c>
    </row>
    <row r="175" spans="1:27" x14ac:dyDescent="0.2">
      <c r="A175" t="s">
        <v>54</v>
      </c>
      <c r="B175" t="s">
        <v>55</v>
      </c>
      <c r="C175" t="s">
        <v>56</v>
      </c>
      <c r="D175" t="s">
        <v>57</v>
      </c>
      <c r="E175" t="s">
        <v>28</v>
      </c>
      <c r="F175" t="s">
        <v>29</v>
      </c>
      <c r="G175" t="s">
        <v>38</v>
      </c>
      <c r="H175">
        <v>3156</v>
      </c>
      <c r="I175">
        <v>0.30432319464579999</v>
      </c>
      <c r="J175">
        <v>0.60880440099081201</v>
      </c>
      <c r="K175">
        <v>-0.30448120634501202</v>
      </c>
      <c r="L175">
        <v>-0.333674828708171</v>
      </c>
      <c r="M175">
        <v>-0.27676261961460102</v>
      </c>
      <c r="Q175">
        <v>10000</v>
      </c>
      <c r="R175" t="s">
        <v>31</v>
      </c>
      <c r="S175">
        <v>-0.30448120634501202</v>
      </c>
      <c r="T175" t="s">
        <v>56</v>
      </c>
      <c r="U175" s="1">
        <v>9.9990000999900002E-5</v>
      </c>
      <c r="V175">
        <v>7.9992000799920002E-4</v>
      </c>
      <c r="W175" t="b">
        <v>1</v>
      </c>
      <c r="X175">
        <v>8</v>
      </c>
      <c r="Y175">
        <v>0</v>
      </c>
      <c r="Z175">
        <v>10000</v>
      </c>
      <c r="AA175">
        <v>10000</v>
      </c>
    </row>
    <row r="176" spans="1:27" x14ac:dyDescent="0.2">
      <c r="A176" t="s">
        <v>54</v>
      </c>
      <c r="B176" t="s">
        <v>55</v>
      </c>
      <c r="C176" t="s">
        <v>56</v>
      </c>
      <c r="D176" t="s">
        <v>57</v>
      </c>
      <c r="E176" t="s">
        <v>28</v>
      </c>
      <c r="F176" t="s">
        <v>29</v>
      </c>
      <c r="G176" t="s">
        <v>39</v>
      </c>
      <c r="H176">
        <v>3156</v>
      </c>
      <c r="I176">
        <v>0.49958376690946898</v>
      </c>
      <c r="J176">
        <v>0.75766890506519602</v>
      </c>
      <c r="K176">
        <v>-0.25808513815572698</v>
      </c>
      <c r="L176">
        <v>-0.276485432684421</v>
      </c>
      <c r="M176">
        <v>-0.23932453542947699</v>
      </c>
      <c r="Q176">
        <v>10000</v>
      </c>
      <c r="R176" t="s">
        <v>31</v>
      </c>
      <c r="S176">
        <v>-0.25808513815572698</v>
      </c>
      <c r="T176" t="s">
        <v>56</v>
      </c>
      <c r="U176" s="1">
        <v>9.9990000999900002E-5</v>
      </c>
      <c r="V176">
        <v>7.9992000799920002E-4</v>
      </c>
      <c r="W176" t="b">
        <v>1</v>
      </c>
      <c r="X176">
        <v>8</v>
      </c>
      <c r="Y176">
        <v>0</v>
      </c>
      <c r="Z176">
        <v>10000</v>
      </c>
      <c r="AA176">
        <v>10000</v>
      </c>
    </row>
    <row r="177" spans="1:27" x14ac:dyDescent="0.2">
      <c r="A177" t="s">
        <v>54</v>
      </c>
      <c r="B177" t="s">
        <v>55</v>
      </c>
      <c r="C177" t="s">
        <v>56</v>
      </c>
      <c r="D177" t="s">
        <v>57</v>
      </c>
      <c r="E177" t="s">
        <v>40</v>
      </c>
      <c r="F177" t="s">
        <v>41</v>
      </c>
      <c r="G177" t="s">
        <v>30</v>
      </c>
      <c r="H177">
        <v>2391</v>
      </c>
      <c r="I177">
        <v>0.5</v>
      </c>
      <c r="J177">
        <v>0.576962615906077</v>
      </c>
      <c r="K177">
        <v>-7.6962615906077406E-2</v>
      </c>
      <c r="L177">
        <v>-9.0450108051299993E-2</v>
      </c>
      <c r="M177">
        <v>-6.4182476699352203E-2</v>
      </c>
      <c r="Q177">
        <v>10000</v>
      </c>
      <c r="R177" t="s">
        <v>31</v>
      </c>
      <c r="S177">
        <v>-7.6962615906077406E-2</v>
      </c>
      <c r="T177" t="s">
        <v>56</v>
      </c>
      <c r="U177" s="1">
        <v>9.9990000999900002E-5</v>
      </c>
      <c r="V177">
        <v>7.9992000799920002E-4</v>
      </c>
      <c r="W177" t="b">
        <v>1</v>
      </c>
      <c r="X177">
        <v>8</v>
      </c>
      <c r="Y177">
        <v>0</v>
      </c>
      <c r="Z177">
        <v>10000</v>
      </c>
      <c r="AA177">
        <v>10000</v>
      </c>
    </row>
    <row r="178" spans="1:27" x14ac:dyDescent="0.2">
      <c r="A178" t="s">
        <v>54</v>
      </c>
      <c r="B178" t="s">
        <v>55</v>
      </c>
      <c r="C178" t="s">
        <v>56</v>
      </c>
      <c r="D178" t="s">
        <v>57</v>
      </c>
      <c r="E178" t="s">
        <v>40</v>
      </c>
      <c r="F178" t="s">
        <v>41</v>
      </c>
      <c r="G178" t="s">
        <v>32</v>
      </c>
      <c r="H178">
        <v>2391</v>
      </c>
      <c r="J178">
        <v>0.27021722212664101</v>
      </c>
      <c r="Q178">
        <v>0</v>
      </c>
      <c r="R178" t="s">
        <v>31</v>
      </c>
      <c r="T178" t="s">
        <v>53</v>
      </c>
      <c r="U178" s="1">
        <v>9.9990000999900002E-5</v>
      </c>
      <c r="V178">
        <v>7.9992000799920002E-4</v>
      </c>
      <c r="W178" t="b">
        <v>1</v>
      </c>
      <c r="X178">
        <v>8</v>
      </c>
      <c r="Y178">
        <v>0</v>
      </c>
      <c r="Z178">
        <v>10000</v>
      </c>
      <c r="AA178">
        <v>10000</v>
      </c>
    </row>
    <row r="179" spans="1:27" x14ac:dyDescent="0.2">
      <c r="A179" t="s">
        <v>54</v>
      </c>
      <c r="B179" t="s">
        <v>55</v>
      </c>
      <c r="C179" t="s">
        <v>56</v>
      </c>
      <c r="D179" t="s">
        <v>57</v>
      </c>
      <c r="E179" t="s">
        <v>40</v>
      </c>
      <c r="F179" t="s">
        <v>41</v>
      </c>
      <c r="G179" t="s">
        <v>33</v>
      </c>
      <c r="H179">
        <v>2391</v>
      </c>
      <c r="J179">
        <v>0.293457943925233</v>
      </c>
      <c r="Q179">
        <v>0</v>
      </c>
      <c r="R179" t="s">
        <v>31</v>
      </c>
      <c r="T179" t="s">
        <v>53</v>
      </c>
      <c r="U179" s="1">
        <v>9.9990000999900002E-5</v>
      </c>
      <c r="V179">
        <v>7.9992000799920002E-4</v>
      </c>
      <c r="W179" t="b">
        <v>1</v>
      </c>
      <c r="X179">
        <v>8</v>
      </c>
      <c r="Y179">
        <v>0</v>
      </c>
      <c r="Z179">
        <v>10000</v>
      </c>
      <c r="AA179">
        <v>10000</v>
      </c>
    </row>
    <row r="180" spans="1:27" x14ac:dyDescent="0.2">
      <c r="A180" t="s">
        <v>54</v>
      </c>
      <c r="B180" t="s">
        <v>55</v>
      </c>
      <c r="C180" t="s">
        <v>56</v>
      </c>
      <c r="D180" t="s">
        <v>57</v>
      </c>
      <c r="E180" t="s">
        <v>40</v>
      </c>
      <c r="F180" t="s">
        <v>41</v>
      </c>
      <c r="G180" t="s">
        <v>34</v>
      </c>
      <c r="H180">
        <v>2391</v>
      </c>
      <c r="J180">
        <v>0.80102040816326503</v>
      </c>
      <c r="Q180">
        <v>0</v>
      </c>
      <c r="R180" t="s">
        <v>31</v>
      </c>
      <c r="T180" t="s">
        <v>53</v>
      </c>
      <c r="U180" s="1">
        <v>9.9990000999900002E-5</v>
      </c>
      <c r="V180">
        <v>7.9992000799920002E-4</v>
      </c>
      <c r="W180" t="b">
        <v>1</v>
      </c>
      <c r="X180">
        <v>8</v>
      </c>
      <c r="Y180">
        <v>0</v>
      </c>
      <c r="Z180">
        <v>10000</v>
      </c>
      <c r="AA180">
        <v>10000</v>
      </c>
    </row>
    <row r="181" spans="1:27" x14ac:dyDescent="0.2">
      <c r="A181" t="s">
        <v>54</v>
      </c>
      <c r="B181" t="s">
        <v>55</v>
      </c>
      <c r="C181" t="s">
        <v>56</v>
      </c>
      <c r="D181" t="s">
        <v>57</v>
      </c>
      <c r="E181" t="s">
        <v>40</v>
      </c>
      <c r="F181" t="s">
        <v>41</v>
      </c>
      <c r="G181" t="s">
        <v>35</v>
      </c>
      <c r="H181">
        <v>2391</v>
      </c>
      <c r="I181">
        <v>0</v>
      </c>
      <c r="J181">
        <v>0.17963386727688699</v>
      </c>
      <c r="K181">
        <v>-0.17963386727688699</v>
      </c>
      <c r="L181">
        <v>-0.204805493354797</v>
      </c>
      <c r="M181">
        <v>-0.155606403946876</v>
      </c>
      <c r="Q181">
        <v>10000</v>
      </c>
      <c r="R181" t="s">
        <v>31</v>
      </c>
      <c r="S181">
        <v>-0.17963386727688699</v>
      </c>
      <c r="T181" t="s">
        <v>56</v>
      </c>
      <c r="U181" s="1">
        <v>9.9990000999900002E-5</v>
      </c>
      <c r="V181">
        <v>7.9992000799920002E-4</v>
      </c>
      <c r="W181" t="b">
        <v>1</v>
      </c>
      <c r="X181">
        <v>8</v>
      </c>
      <c r="Y181">
        <v>0</v>
      </c>
      <c r="Z181">
        <v>10000</v>
      </c>
      <c r="AA181">
        <v>10000</v>
      </c>
    </row>
    <row r="182" spans="1:27" x14ac:dyDescent="0.2">
      <c r="A182" t="s">
        <v>54</v>
      </c>
      <c r="B182" t="s">
        <v>55</v>
      </c>
      <c r="C182" t="s">
        <v>56</v>
      </c>
      <c r="D182" t="s">
        <v>57</v>
      </c>
      <c r="E182" t="s">
        <v>40</v>
      </c>
      <c r="F182" t="s">
        <v>41</v>
      </c>
      <c r="G182" t="s">
        <v>36</v>
      </c>
      <c r="H182">
        <v>2391</v>
      </c>
      <c r="I182">
        <v>874</v>
      </c>
      <c r="J182">
        <v>717</v>
      </c>
      <c r="K182">
        <v>157</v>
      </c>
      <c r="L182">
        <v>136</v>
      </c>
      <c r="M182">
        <v>179</v>
      </c>
      <c r="Q182">
        <v>10000</v>
      </c>
      <c r="R182" t="s">
        <v>37</v>
      </c>
      <c r="S182">
        <v>-157</v>
      </c>
      <c r="T182" t="s">
        <v>56</v>
      </c>
      <c r="U182" s="1">
        <v>9.9990000999900002E-5</v>
      </c>
      <c r="V182">
        <v>7.9992000799920002E-4</v>
      </c>
      <c r="W182" t="b">
        <v>1</v>
      </c>
      <c r="X182">
        <v>8</v>
      </c>
      <c r="Y182">
        <v>0</v>
      </c>
      <c r="Z182">
        <v>10000</v>
      </c>
      <c r="AA182">
        <v>10000</v>
      </c>
    </row>
    <row r="183" spans="1:27" x14ac:dyDescent="0.2">
      <c r="A183" t="s">
        <v>54</v>
      </c>
      <c r="B183" t="s">
        <v>55</v>
      </c>
      <c r="C183" t="s">
        <v>56</v>
      </c>
      <c r="D183" t="s">
        <v>57</v>
      </c>
      <c r="E183" t="s">
        <v>40</v>
      </c>
      <c r="F183" t="s">
        <v>41</v>
      </c>
      <c r="G183" t="s">
        <v>38</v>
      </c>
      <c r="H183">
        <v>2391</v>
      </c>
      <c r="I183">
        <v>0.36557609459197499</v>
      </c>
      <c r="J183">
        <v>0.63230042538498099</v>
      </c>
      <c r="K183">
        <v>-0.266724330793005</v>
      </c>
      <c r="L183">
        <v>-0.29728824794292402</v>
      </c>
      <c r="M183">
        <v>-0.238271151483058</v>
      </c>
      <c r="Q183">
        <v>10000</v>
      </c>
      <c r="R183" t="s">
        <v>31</v>
      </c>
      <c r="S183">
        <v>-0.266724330793005</v>
      </c>
      <c r="T183" t="s">
        <v>56</v>
      </c>
      <c r="U183" s="1">
        <v>9.9990000999900002E-5</v>
      </c>
      <c r="V183">
        <v>7.9992000799920002E-4</v>
      </c>
      <c r="W183" t="b">
        <v>1</v>
      </c>
      <c r="X183">
        <v>8</v>
      </c>
      <c r="Y183">
        <v>0</v>
      </c>
      <c r="Z183">
        <v>10000</v>
      </c>
      <c r="AA183">
        <v>10000</v>
      </c>
    </row>
    <row r="184" spans="1:27" x14ac:dyDescent="0.2">
      <c r="A184" t="s">
        <v>54</v>
      </c>
      <c r="B184" t="s">
        <v>55</v>
      </c>
      <c r="C184" t="s">
        <v>56</v>
      </c>
      <c r="D184" t="s">
        <v>57</v>
      </c>
      <c r="E184" t="s">
        <v>40</v>
      </c>
      <c r="F184" t="s">
        <v>41</v>
      </c>
      <c r="G184" t="s">
        <v>39</v>
      </c>
      <c r="H184">
        <v>2391</v>
      </c>
      <c r="I184">
        <v>0.50008334225837103</v>
      </c>
      <c r="J184">
        <v>0.73373317504589397</v>
      </c>
      <c r="K184">
        <v>-0.23364983278752299</v>
      </c>
      <c r="L184">
        <v>-0.25428487360477398</v>
      </c>
      <c r="M184">
        <v>-0.212768068909645</v>
      </c>
      <c r="Q184">
        <v>10000</v>
      </c>
      <c r="R184" t="s">
        <v>31</v>
      </c>
      <c r="S184">
        <v>-0.23364983278752299</v>
      </c>
      <c r="T184" t="s">
        <v>56</v>
      </c>
      <c r="U184" s="1">
        <v>9.9990000999900002E-5</v>
      </c>
      <c r="V184">
        <v>7.9992000799920002E-4</v>
      </c>
      <c r="W184" t="b">
        <v>1</v>
      </c>
      <c r="X184">
        <v>8</v>
      </c>
      <c r="Y184">
        <v>0</v>
      </c>
      <c r="Z184">
        <v>10000</v>
      </c>
      <c r="AA184">
        <v>10000</v>
      </c>
    </row>
    <row r="185" spans="1:27" x14ac:dyDescent="0.2">
      <c r="A185" t="s">
        <v>54</v>
      </c>
      <c r="B185" t="s">
        <v>55</v>
      </c>
      <c r="C185" t="s">
        <v>56</v>
      </c>
      <c r="D185" t="s">
        <v>57</v>
      </c>
      <c r="E185" t="s">
        <v>49</v>
      </c>
      <c r="F185" t="s">
        <v>50</v>
      </c>
      <c r="G185" t="s">
        <v>30</v>
      </c>
      <c r="H185">
        <v>765</v>
      </c>
      <c r="I185">
        <v>0.5</v>
      </c>
      <c r="J185">
        <v>0.65575729834197904</v>
      </c>
      <c r="K185">
        <v>-0.15575729834197899</v>
      </c>
      <c r="L185">
        <v>-0.204531610012054</v>
      </c>
      <c r="M185">
        <v>-0.109042823314666</v>
      </c>
      <c r="Q185">
        <v>10000</v>
      </c>
      <c r="R185" t="s">
        <v>31</v>
      </c>
      <c r="S185">
        <v>-0.15575729834197899</v>
      </c>
      <c r="T185" t="s">
        <v>56</v>
      </c>
      <c r="U185" s="1">
        <v>9.9990000999900002E-5</v>
      </c>
      <c r="V185">
        <v>7.9992000799920002E-4</v>
      </c>
      <c r="W185" t="b">
        <v>1</v>
      </c>
      <c r="X185">
        <v>8</v>
      </c>
      <c r="Y185">
        <v>0</v>
      </c>
      <c r="Z185">
        <v>10000</v>
      </c>
      <c r="AA185">
        <v>10000</v>
      </c>
    </row>
    <row r="186" spans="1:27" x14ac:dyDescent="0.2">
      <c r="A186" t="s">
        <v>54</v>
      </c>
      <c r="B186" t="s">
        <v>55</v>
      </c>
      <c r="C186" t="s">
        <v>56</v>
      </c>
      <c r="D186" t="s">
        <v>57</v>
      </c>
      <c r="E186" t="s">
        <v>49</v>
      </c>
      <c r="F186" t="s">
        <v>50</v>
      </c>
      <c r="G186" t="s">
        <v>32</v>
      </c>
      <c r="H186">
        <v>765</v>
      </c>
      <c r="J186">
        <v>0.473322797061282</v>
      </c>
      <c r="Q186">
        <v>0</v>
      </c>
      <c r="R186" t="s">
        <v>31</v>
      </c>
      <c r="T186" t="s">
        <v>53</v>
      </c>
      <c r="U186" s="1">
        <v>9.9990000999900002E-5</v>
      </c>
      <c r="V186">
        <v>7.9992000799920002E-4</v>
      </c>
      <c r="W186" t="b">
        <v>1</v>
      </c>
      <c r="X186">
        <v>8</v>
      </c>
      <c r="Y186">
        <v>0</v>
      </c>
      <c r="Z186">
        <v>10000</v>
      </c>
      <c r="AA186">
        <v>10000</v>
      </c>
    </row>
    <row r="187" spans="1:27" x14ac:dyDescent="0.2">
      <c r="A187" t="s">
        <v>54</v>
      </c>
      <c r="B187" t="s">
        <v>55</v>
      </c>
      <c r="C187" t="s">
        <v>56</v>
      </c>
      <c r="D187" t="s">
        <v>57</v>
      </c>
      <c r="E187" t="s">
        <v>49</v>
      </c>
      <c r="F187" t="s">
        <v>50</v>
      </c>
      <c r="G187" t="s">
        <v>33</v>
      </c>
      <c r="H187">
        <v>765</v>
      </c>
      <c r="J187">
        <v>0.45901639344262202</v>
      </c>
      <c r="Q187">
        <v>0</v>
      </c>
      <c r="R187" t="s">
        <v>31</v>
      </c>
      <c r="T187" t="s">
        <v>53</v>
      </c>
      <c r="U187" s="1">
        <v>9.9990000999900002E-5</v>
      </c>
      <c r="V187">
        <v>7.9992000799920002E-4</v>
      </c>
      <c r="W187" t="b">
        <v>1</v>
      </c>
      <c r="X187">
        <v>8</v>
      </c>
      <c r="Y187">
        <v>0</v>
      </c>
      <c r="Z187">
        <v>10000</v>
      </c>
      <c r="AA187">
        <v>10000</v>
      </c>
    </row>
    <row r="188" spans="1:27" x14ac:dyDescent="0.2">
      <c r="A188" t="s">
        <v>54</v>
      </c>
      <c r="B188" t="s">
        <v>55</v>
      </c>
      <c r="C188" t="s">
        <v>56</v>
      </c>
      <c r="D188" t="s">
        <v>57</v>
      </c>
      <c r="E188" t="s">
        <v>49</v>
      </c>
      <c r="F188" t="s">
        <v>50</v>
      </c>
      <c r="G188" t="s">
        <v>34</v>
      </c>
      <c r="H188">
        <v>765</v>
      </c>
      <c r="J188">
        <v>0.8</v>
      </c>
      <c r="Q188">
        <v>0</v>
      </c>
      <c r="R188" t="s">
        <v>31</v>
      </c>
      <c r="T188" t="s">
        <v>53</v>
      </c>
      <c r="U188" s="1">
        <v>9.9990000999900002E-5</v>
      </c>
      <c r="V188">
        <v>7.9992000799920002E-4</v>
      </c>
      <c r="W188" t="b">
        <v>1</v>
      </c>
      <c r="X188">
        <v>8</v>
      </c>
      <c r="Y188">
        <v>0</v>
      </c>
      <c r="Z188">
        <v>10000</v>
      </c>
      <c r="AA188">
        <v>10000</v>
      </c>
    </row>
    <row r="189" spans="1:27" x14ac:dyDescent="0.2">
      <c r="A189" t="s">
        <v>54</v>
      </c>
      <c r="B189" t="s">
        <v>55</v>
      </c>
      <c r="C189" t="s">
        <v>56</v>
      </c>
      <c r="D189" t="s">
        <v>57</v>
      </c>
      <c r="E189" t="s">
        <v>49</v>
      </c>
      <c r="F189" t="s">
        <v>50</v>
      </c>
      <c r="G189" t="s">
        <v>35</v>
      </c>
      <c r="H189">
        <v>765</v>
      </c>
      <c r="I189">
        <v>0</v>
      </c>
      <c r="J189">
        <v>0.32183908045977</v>
      </c>
      <c r="K189">
        <v>-0.32183908045977</v>
      </c>
      <c r="L189">
        <v>-0.41379311680793701</v>
      </c>
      <c r="M189">
        <v>-0.22988505661487499</v>
      </c>
      <c r="Q189">
        <v>10000</v>
      </c>
      <c r="R189" t="s">
        <v>31</v>
      </c>
      <c r="S189">
        <v>-0.32183908045977</v>
      </c>
      <c r="T189" t="s">
        <v>56</v>
      </c>
      <c r="U189" s="1">
        <v>9.9990000999900002E-5</v>
      </c>
      <c r="V189">
        <v>7.9992000799920002E-4</v>
      </c>
      <c r="W189" t="b">
        <v>1</v>
      </c>
      <c r="X189">
        <v>8</v>
      </c>
      <c r="Y189">
        <v>0</v>
      </c>
      <c r="Z189">
        <v>10000</v>
      </c>
      <c r="AA189">
        <v>10000</v>
      </c>
    </row>
    <row r="190" spans="1:27" x14ac:dyDescent="0.2">
      <c r="A190" t="s">
        <v>54</v>
      </c>
      <c r="B190" t="s">
        <v>55</v>
      </c>
      <c r="C190" t="s">
        <v>56</v>
      </c>
      <c r="D190" t="s">
        <v>57</v>
      </c>
      <c r="E190" t="s">
        <v>49</v>
      </c>
      <c r="F190" t="s">
        <v>50</v>
      </c>
      <c r="G190" t="s">
        <v>36</v>
      </c>
      <c r="H190">
        <v>765</v>
      </c>
      <c r="I190">
        <v>87</v>
      </c>
      <c r="J190">
        <v>59</v>
      </c>
      <c r="K190">
        <v>28</v>
      </c>
      <c r="L190">
        <v>20</v>
      </c>
      <c r="M190">
        <v>36</v>
      </c>
      <c r="Q190">
        <v>10000</v>
      </c>
      <c r="R190" t="s">
        <v>37</v>
      </c>
      <c r="S190">
        <v>-28</v>
      </c>
      <c r="T190" t="s">
        <v>56</v>
      </c>
      <c r="U190" s="1">
        <v>9.9990000999900002E-5</v>
      </c>
      <c r="V190">
        <v>7.9992000799920002E-4</v>
      </c>
      <c r="W190" t="b">
        <v>1</v>
      </c>
      <c r="X190">
        <v>8</v>
      </c>
      <c r="Y190">
        <v>0</v>
      </c>
      <c r="Z190">
        <v>10000</v>
      </c>
      <c r="AA190">
        <v>10000</v>
      </c>
    </row>
    <row r="191" spans="1:27" x14ac:dyDescent="0.2">
      <c r="A191" t="s">
        <v>54</v>
      </c>
      <c r="B191" t="s">
        <v>55</v>
      </c>
      <c r="C191" t="s">
        <v>56</v>
      </c>
      <c r="D191" t="s">
        <v>57</v>
      </c>
      <c r="E191" t="s">
        <v>49</v>
      </c>
      <c r="F191" t="s">
        <v>50</v>
      </c>
      <c r="G191" t="s">
        <v>38</v>
      </c>
      <c r="H191">
        <v>765</v>
      </c>
      <c r="I191">
        <v>0.112947937795807</v>
      </c>
      <c r="J191">
        <v>0.591867036327963</v>
      </c>
      <c r="K191">
        <v>-0.47891909853215497</v>
      </c>
      <c r="L191">
        <v>-0.57077309191226899</v>
      </c>
      <c r="M191">
        <v>-0.39372125118970802</v>
      </c>
      <c r="Q191">
        <v>10000</v>
      </c>
      <c r="R191" t="s">
        <v>31</v>
      </c>
      <c r="S191">
        <v>-0.47891909853215497</v>
      </c>
      <c r="T191" t="s">
        <v>56</v>
      </c>
      <c r="U191" s="1">
        <v>9.9990000999900002E-5</v>
      </c>
      <c r="V191">
        <v>7.9992000799920002E-4</v>
      </c>
      <c r="W191" t="b">
        <v>1</v>
      </c>
      <c r="X191">
        <v>8</v>
      </c>
      <c r="Y191">
        <v>0</v>
      </c>
      <c r="Z191">
        <v>10000</v>
      </c>
      <c r="AA191">
        <v>10000</v>
      </c>
    </row>
    <row r="192" spans="1:27" x14ac:dyDescent="0.2">
      <c r="A192" t="s">
        <v>54</v>
      </c>
      <c r="B192" t="s">
        <v>55</v>
      </c>
      <c r="C192" t="s">
        <v>56</v>
      </c>
      <c r="D192" t="s">
        <v>57</v>
      </c>
      <c r="E192" t="s">
        <v>49</v>
      </c>
      <c r="F192" t="s">
        <v>50</v>
      </c>
      <c r="G192" t="s">
        <v>39</v>
      </c>
      <c r="H192">
        <v>765</v>
      </c>
      <c r="I192">
        <v>0.49610924626182401</v>
      </c>
      <c r="J192">
        <v>0.90048486081443002</v>
      </c>
      <c r="K192">
        <v>-0.40437561455260501</v>
      </c>
      <c r="L192">
        <v>-0.43201012760400698</v>
      </c>
      <c r="M192">
        <v>-0.37341910600662198</v>
      </c>
      <c r="Q192">
        <v>10000</v>
      </c>
      <c r="R192" t="s">
        <v>31</v>
      </c>
      <c r="S192">
        <v>-0.40437561455260501</v>
      </c>
      <c r="T192" t="s">
        <v>56</v>
      </c>
      <c r="U192" s="1">
        <v>9.9990000999900002E-5</v>
      </c>
      <c r="V192">
        <v>7.9992000799920002E-4</v>
      </c>
      <c r="W192" t="b">
        <v>1</v>
      </c>
      <c r="X192">
        <v>8</v>
      </c>
      <c r="Y192">
        <v>0</v>
      </c>
      <c r="Z192">
        <v>10000</v>
      </c>
      <c r="AA192">
        <v>10000</v>
      </c>
    </row>
    <row r="193" spans="1:27" x14ac:dyDescent="0.2">
      <c r="A193" t="s">
        <v>54</v>
      </c>
      <c r="B193" t="s">
        <v>55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>
        <v>3156</v>
      </c>
      <c r="I193">
        <v>0.5</v>
      </c>
      <c r="J193">
        <v>0.59019671517188499</v>
      </c>
      <c r="K193">
        <v>-9.0196715171885697E-2</v>
      </c>
      <c r="L193">
        <v>-0.10333341360092101</v>
      </c>
      <c r="M193">
        <v>-7.7383577823638902E-2</v>
      </c>
      <c r="Q193">
        <v>10000</v>
      </c>
      <c r="R193" t="s">
        <v>31</v>
      </c>
      <c r="S193">
        <v>-9.0196715171885697E-2</v>
      </c>
      <c r="T193" t="s">
        <v>26</v>
      </c>
      <c r="U193" s="1">
        <v>9.9990000999900002E-5</v>
      </c>
      <c r="V193">
        <v>7.9992000799920002E-4</v>
      </c>
      <c r="W193" t="b">
        <v>1</v>
      </c>
      <c r="X193">
        <v>8</v>
      </c>
      <c r="Y193">
        <v>0</v>
      </c>
      <c r="Z193">
        <v>10000</v>
      </c>
      <c r="AA193">
        <v>10000</v>
      </c>
    </row>
    <row r="194" spans="1:27" x14ac:dyDescent="0.2">
      <c r="A194" t="s">
        <v>54</v>
      </c>
      <c r="B194" t="s">
        <v>55</v>
      </c>
      <c r="C194" t="s">
        <v>26</v>
      </c>
      <c r="D194" t="s">
        <v>27</v>
      </c>
      <c r="E194" t="s">
        <v>28</v>
      </c>
      <c r="F194" t="s">
        <v>29</v>
      </c>
      <c r="G194" t="s">
        <v>32</v>
      </c>
      <c r="H194">
        <v>3156</v>
      </c>
      <c r="J194">
        <v>0.30682429441057202</v>
      </c>
      <c r="Q194">
        <v>0</v>
      </c>
      <c r="R194" t="s">
        <v>31</v>
      </c>
      <c r="T194" t="s">
        <v>53</v>
      </c>
      <c r="U194" s="1">
        <v>9.9990000999900002E-5</v>
      </c>
      <c r="V194">
        <v>7.9992000799920002E-4</v>
      </c>
      <c r="W194" t="b">
        <v>1</v>
      </c>
      <c r="X194">
        <v>8</v>
      </c>
      <c r="Y194">
        <v>0</v>
      </c>
      <c r="Z194">
        <v>10000</v>
      </c>
      <c r="AA194">
        <v>10000</v>
      </c>
    </row>
    <row r="195" spans="1:27" x14ac:dyDescent="0.2">
      <c r="A195" t="s">
        <v>54</v>
      </c>
      <c r="B195" t="s">
        <v>55</v>
      </c>
      <c r="C195" t="s">
        <v>26</v>
      </c>
      <c r="D195" t="s">
        <v>27</v>
      </c>
      <c r="E195" t="s">
        <v>28</v>
      </c>
      <c r="F195" t="s">
        <v>29</v>
      </c>
      <c r="G195" t="s">
        <v>33</v>
      </c>
      <c r="H195">
        <v>3156</v>
      </c>
      <c r="J195">
        <v>0.32508250825082502</v>
      </c>
      <c r="Q195">
        <v>0</v>
      </c>
      <c r="R195" t="s">
        <v>31</v>
      </c>
      <c r="T195" t="s">
        <v>53</v>
      </c>
      <c r="U195" s="1">
        <v>9.9990000999900002E-5</v>
      </c>
      <c r="V195">
        <v>7.9992000799920002E-4</v>
      </c>
      <c r="W195" t="b">
        <v>1</v>
      </c>
      <c r="X195">
        <v>8</v>
      </c>
      <c r="Y195">
        <v>0</v>
      </c>
      <c r="Z195">
        <v>10000</v>
      </c>
      <c r="AA195">
        <v>10000</v>
      </c>
    </row>
    <row r="196" spans="1:27" x14ac:dyDescent="0.2">
      <c r="A196" t="s">
        <v>54</v>
      </c>
      <c r="B196" t="s">
        <v>55</v>
      </c>
      <c r="C196" t="s">
        <v>26</v>
      </c>
      <c r="D196" t="s">
        <v>27</v>
      </c>
      <c r="E196" t="s">
        <v>28</v>
      </c>
      <c r="F196" t="s">
        <v>29</v>
      </c>
      <c r="G196" t="s">
        <v>34</v>
      </c>
      <c r="H196">
        <v>3156</v>
      </c>
      <c r="J196">
        <v>0.78486055776892405</v>
      </c>
      <c r="Q196">
        <v>0</v>
      </c>
      <c r="R196" t="s">
        <v>31</v>
      </c>
      <c r="T196" t="s">
        <v>53</v>
      </c>
      <c r="U196" s="1">
        <v>9.9990000999900002E-5</v>
      </c>
      <c r="V196">
        <v>7.9992000799920002E-4</v>
      </c>
      <c r="W196" t="b">
        <v>1</v>
      </c>
      <c r="X196">
        <v>8</v>
      </c>
      <c r="Y196">
        <v>0</v>
      </c>
      <c r="Z196">
        <v>10000</v>
      </c>
      <c r="AA196">
        <v>10000</v>
      </c>
    </row>
    <row r="197" spans="1:27" x14ac:dyDescent="0.2">
      <c r="A197" t="s">
        <v>54</v>
      </c>
      <c r="B197" t="s">
        <v>55</v>
      </c>
      <c r="C197" t="s">
        <v>26</v>
      </c>
      <c r="D197" t="s">
        <v>27</v>
      </c>
      <c r="E197" t="s">
        <v>28</v>
      </c>
      <c r="F197" t="s">
        <v>29</v>
      </c>
      <c r="G197" t="s">
        <v>35</v>
      </c>
      <c r="H197">
        <v>3156</v>
      </c>
      <c r="I197">
        <v>0</v>
      </c>
      <c r="J197">
        <v>0.204994797086368</v>
      </c>
      <c r="K197">
        <v>-0.204994797086368</v>
      </c>
      <c r="L197">
        <v>-0.23100936412811199</v>
      </c>
      <c r="M197">
        <v>-0.18002080917358301</v>
      </c>
      <c r="Q197">
        <v>10000</v>
      </c>
      <c r="R197" t="s">
        <v>31</v>
      </c>
      <c r="S197">
        <v>-0.204994797086368</v>
      </c>
      <c r="T197" t="s">
        <v>26</v>
      </c>
      <c r="U197" s="1">
        <v>9.9990000999900002E-5</v>
      </c>
      <c r="V197">
        <v>7.9992000799920002E-4</v>
      </c>
      <c r="W197" t="b">
        <v>1</v>
      </c>
      <c r="X197">
        <v>8</v>
      </c>
      <c r="Y197">
        <v>0</v>
      </c>
      <c r="Z197">
        <v>10000</v>
      </c>
      <c r="AA197">
        <v>10000</v>
      </c>
    </row>
    <row r="198" spans="1:27" x14ac:dyDescent="0.2">
      <c r="A198" t="s">
        <v>54</v>
      </c>
      <c r="B198" t="s">
        <v>55</v>
      </c>
      <c r="C198" t="s">
        <v>26</v>
      </c>
      <c r="D198" t="s">
        <v>27</v>
      </c>
      <c r="E198" t="s">
        <v>28</v>
      </c>
      <c r="F198" t="s">
        <v>29</v>
      </c>
      <c r="G198" t="s">
        <v>36</v>
      </c>
      <c r="H198">
        <v>3156</v>
      </c>
      <c r="I198">
        <v>961</v>
      </c>
      <c r="J198">
        <v>764</v>
      </c>
      <c r="K198">
        <v>197</v>
      </c>
      <c r="L198">
        <v>173</v>
      </c>
      <c r="M198">
        <v>222</v>
      </c>
      <c r="Q198">
        <v>10000</v>
      </c>
      <c r="R198" t="s">
        <v>37</v>
      </c>
      <c r="S198">
        <v>-197</v>
      </c>
      <c r="T198" t="s">
        <v>26</v>
      </c>
      <c r="U198" s="1">
        <v>9.9990000999900002E-5</v>
      </c>
      <c r="V198">
        <v>7.9992000799920002E-4</v>
      </c>
      <c r="W198" t="b">
        <v>1</v>
      </c>
      <c r="X198">
        <v>8</v>
      </c>
      <c r="Y198">
        <v>0</v>
      </c>
      <c r="Z198">
        <v>10000</v>
      </c>
      <c r="AA198">
        <v>10000</v>
      </c>
    </row>
    <row r="199" spans="1:27" x14ac:dyDescent="0.2">
      <c r="A199" t="s">
        <v>54</v>
      </c>
      <c r="B199" t="s">
        <v>55</v>
      </c>
      <c r="C199" t="s">
        <v>26</v>
      </c>
      <c r="D199" t="s">
        <v>27</v>
      </c>
      <c r="E199" t="s">
        <v>28</v>
      </c>
      <c r="F199" t="s">
        <v>29</v>
      </c>
      <c r="G199" t="s">
        <v>38</v>
      </c>
      <c r="H199">
        <v>3156</v>
      </c>
      <c r="I199">
        <v>0.30432319464579999</v>
      </c>
      <c r="J199">
        <v>0.60170806035767499</v>
      </c>
      <c r="K199">
        <v>-0.297384865711875</v>
      </c>
      <c r="L199">
        <v>-0.32576062977313902</v>
      </c>
      <c r="M199">
        <v>-0.26935824602842301</v>
      </c>
      <c r="Q199">
        <v>10000</v>
      </c>
      <c r="R199" t="s">
        <v>31</v>
      </c>
      <c r="S199">
        <v>-0.297384865711875</v>
      </c>
      <c r="T199" t="s">
        <v>26</v>
      </c>
      <c r="U199" s="1">
        <v>9.9990000999900002E-5</v>
      </c>
      <c r="V199">
        <v>7.9992000799920002E-4</v>
      </c>
      <c r="W199" t="b">
        <v>1</v>
      </c>
      <c r="X199">
        <v>8</v>
      </c>
      <c r="Y199">
        <v>0</v>
      </c>
      <c r="Z199">
        <v>10000</v>
      </c>
      <c r="AA199">
        <v>10000</v>
      </c>
    </row>
    <row r="200" spans="1:27" x14ac:dyDescent="0.2">
      <c r="A200" t="s">
        <v>54</v>
      </c>
      <c r="B200" t="s">
        <v>55</v>
      </c>
      <c r="C200" t="s">
        <v>26</v>
      </c>
      <c r="D200" t="s">
        <v>27</v>
      </c>
      <c r="E200" t="s">
        <v>28</v>
      </c>
      <c r="F200" t="s">
        <v>29</v>
      </c>
      <c r="G200" t="s">
        <v>39</v>
      </c>
      <c r="H200">
        <v>3156</v>
      </c>
      <c r="I200">
        <v>0.49958376690946898</v>
      </c>
      <c r="J200">
        <v>0.75558394705590903</v>
      </c>
      <c r="K200">
        <v>-0.25600018014643999</v>
      </c>
      <c r="L200">
        <v>-0.27430797368288001</v>
      </c>
      <c r="M200">
        <v>-0.236549253761768</v>
      </c>
      <c r="Q200">
        <v>10000</v>
      </c>
      <c r="R200" t="s">
        <v>31</v>
      </c>
      <c r="S200">
        <v>-0.25600018014643999</v>
      </c>
      <c r="T200" t="s">
        <v>26</v>
      </c>
      <c r="U200" s="1">
        <v>9.9990000999900002E-5</v>
      </c>
      <c r="V200">
        <v>7.9992000799920002E-4</v>
      </c>
      <c r="W200" t="b">
        <v>1</v>
      </c>
      <c r="X200">
        <v>8</v>
      </c>
      <c r="Y200">
        <v>0</v>
      </c>
      <c r="Z200">
        <v>10000</v>
      </c>
      <c r="AA200">
        <v>10000</v>
      </c>
    </row>
    <row r="201" spans="1:27" x14ac:dyDescent="0.2">
      <c r="A201" t="s">
        <v>54</v>
      </c>
      <c r="B201" t="s">
        <v>55</v>
      </c>
      <c r="C201" t="s">
        <v>26</v>
      </c>
      <c r="D201" t="s">
        <v>27</v>
      </c>
      <c r="E201" t="s">
        <v>40</v>
      </c>
      <c r="F201" t="s">
        <v>41</v>
      </c>
      <c r="G201" t="s">
        <v>30</v>
      </c>
      <c r="H201">
        <v>2391</v>
      </c>
      <c r="I201">
        <v>0.5</v>
      </c>
      <c r="J201">
        <v>0.58374049106314496</v>
      </c>
      <c r="K201">
        <v>-8.3740491063145503E-2</v>
      </c>
      <c r="L201">
        <v>-9.7838568687438898E-2</v>
      </c>
      <c r="M201">
        <v>-7.0358519256114901E-2</v>
      </c>
      <c r="Q201">
        <v>10000</v>
      </c>
      <c r="R201" t="s">
        <v>31</v>
      </c>
      <c r="S201">
        <v>-8.3740491063145503E-2</v>
      </c>
      <c r="T201" t="s">
        <v>26</v>
      </c>
      <c r="U201" s="1">
        <v>9.9990000999900002E-5</v>
      </c>
      <c r="V201">
        <v>7.9992000799920002E-4</v>
      </c>
      <c r="W201" t="b">
        <v>1</v>
      </c>
      <c r="X201">
        <v>8</v>
      </c>
      <c r="Y201">
        <v>0</v>
      </c>
      <c r="Z201">
        <v>10000</v>
      </c>
      <c r="AA201">
        <v>10000</v>
      </c>
    </row>
    <row r="202" spans="1:27" x14ac:dyDescent="0.2">
      <c r="A202" t="s">
        <v>54</v>
      </c>
      <c r="B202" t="s">
        <v>55</v>
      </c>
      <c r="C202" t="s">
        <v>26</v>
      </c>
      <c r="D202" t="s">
        <v>27</v>
      </c>
      <c r="E202" t="s">
        <v>40</v>
      </c>
      <c r="F202" t="s">
        <v>41</v>
      </c>
      <c r="G202" t="s">
        <v>32</v>
      </c>
      <c r="H202">
        <v>2391</v>
      </c>
      <c r="J202">
        <v>0.28434430293253798</v>
      </c>
      <c r="Q202">
        <v>0</v>
      </c>
      <c r="R202" t="s">
        <v>31</v>
      </c>
      <c r="T202" t="s">
        <v>53</v>
      </c>
      <c r="U202" s="1">
        <v>9.9990000999900002E-5</v>
      </c>
      <c r="V202">
        <v>7.9992000799920002E-4</v>
      </c>
      <c r="W202" t="b">
        <v>1</v>
      </c>
      <c r="X202">
        <v>8</v>
      </c>
      <c r="Y202">
        <v>0</v>
      </c>
      <c r="Z202">
        <v>10000</v>
      </c>
      <c r="AA202">
        <v>10000</v>
      </c>
    </row>
    <row r="203" spans="1:27" x14ac:dyDescent="0.2">
      <c r="A203" t="s">
        <v>54</v>
      </c>
      <c r="B203" t="s">
        <v>55</v>
      </c>
      <c r="C203" t="s">
        <v>26</v>
      </c>
      <c r="D203" t="s">
        <v>27</v>
      </c>
      <c r="E203" t="s">
        <v>40</v>
      </c>
      <c r="F203" t="s">
        <v>41</v>
      </c>
      <c r="G203" t="s">
        <v>33</v>
      </c>
      <c r="H203">
        <v>2391</v>
      </c>
      <c r="J203">
        <v>0.31336405529953898</v>
      </c>
      <c r="Q203">
        <v>0</v>
      </c>
      <c r="R203" t="s">
        <v>31</v>
      </c>
      <c r="T203" t="s">
        <v>53</v>
      </c>
      <c r="U203" s="1">
        <v>9.9990000999900002E-5</v>
      </c>
      <c r="V203">
        <v>7.9992000799920002E-4</v>
      </c>
      <c r="W203" t="b">
        <v>1</v>
      </c>
      <c r="X203">
        <v>8</v>
      </c>
      <c r="Y203">
        <v>0</v>
      </c>
      <c r="Z203">
        <v>10000</v>
      </c>
      <c r="AA203">
        <v>10000</v>
      </c>
    </row>
    <row r="204" spans="1:27" x14ac:dyDescent="0.2">
      <c r="A204" t="s">
        <v>54</v>
      </c>
      <c r="B204" t="s">
        <v>55</v>
      </c>
      <c r="C204" t="s">
        <v>26</v>
      </c>
      <c r="D204" t="s">
        <v>27</v>
      </c>
      <c r="E204" t="s">
        <v>40</v>
      </c>
      <c r="F204" t="s">
        <v>41</v>
      </c>
      <c r="G204" t="s">
        <v>34</v>
      </c>
      <c r="H204">
        <v>2391</v>
      </c>
      <c r="J204">
        <v>0.80568720379146896</v>
      </c>
      <c r="Q204">
        <v>0</v>
      </c>
      <c r="R204" t="s">
        <v>31</v>
      </c>
      <c r="T204" t="s">
        <v>53</v>
      </c>
      <c r="U204" s="1">
        <v>9.9990000999900002E-5</v>
      </c>
      <c r="V204">
        <v>7.9992000799920002E-4</v>
      </c>
      <c r="W204" t="b">
        <v>1</v>
      </c>
      <c r="X204">
        <v>8</v>
      </c>
      <c r="Y204">
        <v>0</v>
      </c>
      <c r="Z204">
        <v>10000</v>
      </c>
      <c r="AA204">
        <v>10000</v>
      </c>
    </row>
    <row r="205" spans="1:27" x14ac:dyDescent="0.2">
      <c r="A205" t="s">
        <v>54</v>
      </c>
      <c r="B205" t="s">
        <v>55</v>
      </c>
      <c r="C205" t="s">
        <v>26</v>
      </c>
      <c r="D205" t="s">
        <v>27</v>
      </c>
      <c r="E205" t="s">
        <v>40</v>
      </c>
      <c r="F205" t="s">
        <v>41</v>
      </c>
      <c r="G205" t="s">
        <v>35</v>
      </c>
      <c r="H205">
        <v>2391</v>
      </c>
      <c r="I205">
        <v>0</v>
      </c>
      <c r="J205">
        <v>0.19450800915331801</v>
      </c>
      <c r="K205">
        <v>-0.19450800915331801</v>
      </c>
      <c r="L205">
        <v>-0.220823794603347</v>
      </c>
      <c r="M205">
        <v>-0.169336378574371</v>
      </c>
      <c r="Q205">
        <v>10000</v>
      </c>
      <c r="R205" t="s">
        <v>31</v>
      </c>
      <c r="S205">
        <v>-0.19450800915331801</v>
      </c>
      <c r="T205" t="s">
        <v>26</v>
      </c>
      <c r="U205" s="1">
        <v>9.9990000999900002E-5</v>
      </c>
      <c r="V205">
        <v>7.9992000799920002E-4</v>
      </c>
      <c r="W205" t="b">
        <v>1</v>
      </c>
      <c r="X205">
        <v>8</v>
      </c>
      <c r="Y205">
        <v>0</v>
      </c>
      <c r="Z205">
        <v>10000</v>
      </c>
      <c r="AA205">
        <v>10000</v>
      </c>
    </row>
    <row r="206" spans="1:27" x14ac:dyDescent="0.2">
      <c r="A206" t="s">
        <v>54</v>
      </c>
      <c r="B206" t="s">
        <v>55</v>
      </c>
      <c r="C206" t="s">
        <v>26</v>
      </c>
      <c r="D206" t="s">
        <v>27</v>
      </c>
      <c r="E206" t="s">
        <v>40</v>
      </c>
      <c r="F206" t="s">
        <v>41</v>
      </c>
      <c r="G206" t="s">
        <v>36</v>
      </c>
      <c r="H206">
        <v>2391</v>
      </c>
      <c r="I206">
        <v>874</v>
      </c>
      <c r="J206">
        <v>704</v>
      </c>
      <c r="K206">
        <v>170</v>
      </c>
      <c r="L206">
        <v>148</v>
      </c>
      <c r="M206">
        <v>193</v>
      </c>
      <c r="Q206">
        <v>10000</v>
      </c>
      <c r="R206" t="s">
        <v>37</v>
      </c>
      <c r="S206">
        <v>-170</v>
      </c>
      <c r="T206" t="s">
        <v>26</v>
      </c>
      <c r="U206" s="1">
        <v>9.9990000999900002E-5</v>
      </c>
      <c r="V206">
        <v>7.9992000799920002E-4</v>
      </c>
      <c r="W206" t="b">
        <v>1</v>
      </c>
      <c r="X206">
        <v>8</v>
      </c>
      <c r="Y206">
        <v>0</v>
      </c>
      <c r="Z206">
        <v>10000</v>
      </c>
      <c r="AA206">
        <v>10000</v>
      </c>
    </row>
    <row r="207" spans="1:27" x14ac:dyDescent="0.2">
      <c r="A207" t="s">
        <v>54</v>
      </c>
      <c r="B207" t="s">
        <v>55</v>
      </c>
      <c r="C207" t="s">
        <v>26</v>
      </c>
      <c r="D207" t="s">
        <v>27</v>
      </c>
      <c r="E207" t="s">
        <v>40</v>
      </c>
      <c r="F207" t="s">
        <v>41</v>
      </c>
      <c r="G207" t="s">
        <v>38</v>
      </c>
      <c r="H207">
        <v>2391</v>
      </c>
      <c r="I207">
        <v>0.36557609459197499</v>
      </c>
      <c r="J207">
        <v>0.62964162854208805</v>
      </c>
      <c r="K207">
        <v>-0.26406553395011301</v>
      </c>
      <c r="L207">
        <v>-0.29394883215427398</v>
      </c>
      <c r="M207">
        <v>-0.236209039390087</v>
      </c>
      <c r="Q207">
        <v>10000</v>
      </c>
      <c r="R207" t="s">
        <v>31</v>
      </c>
      <c r="S207">
        <v>-0.26406553395011301</v>
      </c>
      <c r="T207" t="s">
        <v>26</v>
      </c>
      <c r="U207" s="1">
        <v>9.9990000999900002E-5</v>
      </c>
      <c r="V207">
        <v>7.9992000799920002E-4</v>
      </c>
      <c r="W207" t="b">
        <v>1</v>
      </c>
      <c r="X207">
        <v>8</v>
      </c>
      <c r="Y207">
        <v>0</v>
      </c>
      <c r="Z207">
        <v>10000</v>
      </c>
      <c r="AA207">
        <v>10000</v>
      </c>
    </row>
    <row r="208" spans="1:27" x14ac:dyDescent="0.2">
      <c r="A208" t="s">
        <v>54</v>
      </c>
      <c r="B208" t="s">
        <v>55</v>
      </c>
      <c r="C208" t="s">
        <v>26</v>
      </c>
      <c r="D208" t="s">
        <v>27</v>
      </c>
      <c r="E208" t="s">
        <v>40</v>
      </c>
      <c r="F208" t="s">
        <v>41</v>
      </c>
      <c r="G208" t="s">
        <v>39</v>
      </c>
      <c r="H208">
        <v>2391</v>
      </c>
      <c r="I208">
        <v>0.50008334225837103</v>
      </c>
      <c r="J208">
        <v>0.73206029604980305</v>
      </c>
      <c r="K208">
        <v>-0.23197695379143099</v>
      </c>
      <c r="L208">
        <v>-0.25263556391000702</v>
      </c>
      <c r="M208">
        <v>-0.210931605100631</v>
      </c>
      <c r="Q208">
        <v>10000</v>
      </c>
      <c r="R208" t="s">
        <v>31</v>
      </c>
      <c r="S208">
        <v>-0.23197695379143099</v>
      </c>
      <c r="T208" t="s">
        <v>26</v>
      </c>
      <c r="U208" s="1">
        <v>9.9990000999900002E-5</v>
      </c>
      <c r="V208">
        <v>7.9992000799920002E-4</v>
      </c>
      <c r="W208" t="b">
        <v>1</v>
      </c>
      <c r="X208">
        <v>8</v>
      </c>
      <c r="Y208">
        <v>0</v>
      </c>
      <c r="Z208">
        <v>10000</v>
      </c>
      <c r="AA208">
        <v>10000</v>
      </c>
    </row>
    <row r="209" spans="1:27" x14ac:dyDescent="0.2">
      <c r="A209" t="s">
        <v>54</v>
      </c>
      <c r="B209" t="s">
        <v>55</v>
      </c>
      <c r="C209" t="s">
        <v>26</v>
      </c>
      <c r="D209" t="s">
        <v>27</v>
      </c>
      <c r="E209" t="s">
        <v>49</v>
      </c>
      <c r="F209" t="s">
        <v>50</v>
      </c>
      <c r="G209" t="s">
        <v>30</v>
      </c>
      <c r="H209">
        <v>765</v>
      </c>
      <c r="I209">
        <v>0.5</v>
      </c>
      <c r="J209">
        <v>0.64558539314413499</v>
      </c>
      <c r="K209">
        <v>-0.14558539314413499</v>
      </c>
      <c r="L209">
        <v>-0.19451224803924499</v>
      </c>
      <c r="M209">
        <v>-9.8870933055877602E-2</v>
      </c>
      <c r="Q209">
        <v>10000</v>
      </c>
      <c r="R209" t="s">
        <v>31</v>
      </c>
      <c r="S209">
        <v>-0.14558539314413499</v>
      </c>
      <c r="T209" t="s">
        <v>26</v>
      </c>
      <c r="U209" s="1">
        <v>9.9990000999900002E-5</v>
      </c>
      <c r="V209">
        <v>7.9992000799920002E-4</v>
      </c>
      <c r="W209" t="b">
        <v>1</v>
      </c>
      <c r="X209">
        <v>8</v>
      </c>
      <c r="Y209">
        <v>0</v>
      </c>
      <c r="Z209">
        <v>10000</v>
      </c>
      <c r="AA209">
        <v>10000</v>
      </c>
    </row>
    <row r="210" spans="1:27" x14ac:dyDescent="0.2">
      <c r="A210" t="s">
        <v>54</v>
      </c>
      <c r="B210" t="s">
        <v>55</v>
      </c>
      <c r="C210" t="s">
        <v>26</v>
      </c>
      <c r="D210" t="s">
        <v>27</v>
      </c>
      <c r="E210" t="s">
        <v>49</v>
      </c>
      <c r="F210" t="s">
        <v>50</v>
      </c>
      <c r="G210" t="s">
        <v>32</v>
      </c>
      <c r="H210">
        <v>765</v>
      </c>
      <c r="J210">
        <v>0.41526303481798499</v>
      </c>
      <c r="Q210">
        <v>0</v>
      </c>
      <c r="R210" t="s">
        <v>31</v>
      </c>
      <c r="T210" t="s">
        <v>53</v>
      </c>
      <c r="U210" s="1">
        <v>9.9990000999900002E-5</v>
      </c>
      <c r="V210">
        <v>7.9992000799920002E-4</v>
      </c>
      <c r="W210" t="b">
        <v>1</v>
      </c>
      <c r="X210">
        <v>8</v>
      </c>
      <c r="Y210">
        <v>0</v>
      </c>
      <c r="Z210">
        <v>10000</v>
      </c>
      <c r="AA210">
        <v>10000</v>
      </c>
    </row>
    <row r="211" spans="1:27" x14ac:dyDescent="0.2">
      <c r="A211" t="s">
        <v>54</v>
      </c>
      <c r="B211" t="s">
        <v>55</v>
      </c>
      <c r="C211" t="s">
        <v>26</v>
      </c>
      <c r="D211" t="s">
        <v>27</v>
      </c>
      <c r="E211" t="s">
        <v>49</v>
      </c>
      <c r="F211" t="s">
        <v>50</v>
      </c>
      <c r="G211" t="s">
        <v>33</v>
      </c>
      <c r="H211">
        <v>765</v>
      </c>
      <c r="J211">
        <v>0.42519685039369998</v>
      </c>
      <c r="Q211">
        <v>0</v>
      </c>
      <c r="R211" t="s">
        <v>31</v>
      </c>
      <c r="T211" t="s">
        <v>53</v>
      </c>
      <c r="U211" s="1">
        <v>9.9990000999900002E-5</v>
      </c>
      <c r="V211">
        <v>7.9992000799920002E-4</v>
      </c>
      <c r="W211" t="b">
        <v>1</v>
      </c>
      <c r="X211">
        <v>8</v>
      </c>
      <c r="Y211">
        <v>0</v>
      </c>
      <c r="Z211">
        <v>10000</v>
      </c>
      <c r="AA211">
        <v>10000</v>
      </c>
    </row>
    <row r="212" spans="1:27" x14ac:dyDescent="0.2">
      <c r="A212" t="s">
        <v>54</v>
      </c>
      <c r="B212" t="s">
        <v>55</v>
      </c>
      <c r="C212" t="s">
        <v>26</v>
      </c>
      <c r="D212" t="s">
        <v>27</v>
      </c>
      <c r="E212" t="s">
        <v>49</v>
      </c>
      <c r="F212" t="s">
        <v>50</v>
      </c>
      <c r="G212" t="s">
        <v>34</v>
      </c>
      <c r="H212">
        <v>765</v>
      </c>
      <c r="J212">
        <v>0.67500000000000004</v>
      </c>
      <c r="Q212">
        <v>0</v>
      </c>
      <c r="R212" t="s">
        <v>31</v>
      </c>
      <c r="T212" t="s">
        <v>53</v>
      </c>
      <c r="U212" s="1">
        <v>9.9990000999900002E-5</v>
      </c>
      <c r="V212">
        <v>7.9992000799920002E-4</v>
      </c>
      <c r="W212" t="b">
        <v>1</v>
      </c>
      <c r="X212">
        <v>8</v>
      </c>
      <c r="Y212">
        <v>0</v>
      </c>
      <c r="Z212">
        <v>10000</v>
      </c>
      <c r="AA212">
        <v>10000</v>
      </c>
    </row>
    <row r="213" spans="1:27" x14ac:dyDescent="0.2">
      <c r="A213" t="s">
        <v>54</v>
      </c>
      <c r="B213" t="s">
        <v>55</v>
      </c>
      <c r="C213" t="s">
        <v>26</v>
      </c>
      <c r="D213" t="s">
        <v>27</v>
      </c>
      <c r="E213" t="s">
        <v>49</v>
      </c>
      <c r="F213" t="s">
        <v>50</v>
      </c>
      <c r="G213" t="s">
        <v>35</v>
      </c>
      <c r="H213">
        <v>765</v>
      </c>
      <c r="I213">
        <v>0</v>
      </c>
      <c r="J213">
        <v>0.31034482758620602</v>
      </c>
      <c r="K213">
        <v>-0.31034482758620602</v>
      </c>
      <c r="L213">
        <v>-0.41379311680793701</v>
      </c>
      <c r="M213">
        <v>-0.218390807509422</v>
      </c>
      <c r="Q213">
        <v>10000</v>
      </c>
      <c r="R213" t="s">
        <v>31</v>
      </c>
      <c r="S213">
        <v>-0.31034482758620602</v>
      </c>
      <c r="T213" t="s">
        <v>26</v>
      </c>
      <c r="U213" s="1">
        <v>9.9990000999900002E-5</v>
      </c>
      <c r="V213">
        <v>7.9992000799920002E-4</v>
      </c>
      <c r="W213" t="b">
        <v>1</v>
      </c>
      <c r="X213">
        <v>8</v>
      </c>
      <c r="Y213">
        <v>0</v>
      </c>
      <c r="Z213">
        <v>10000</v>
      </c>
      <c r="AA213">
        <v>10000</v>
      </c>
    </row>
    <row r="214" spans="1:27" x14ac:dyDescent="0.2">
      <c r="A214" t="s">
        <v>54</v>
      </c>
      <c r="B214" t="s">
        <v>55</v>
      </c>
      <c r="C214" t="s">
        <v>26</v>
      </c>
      <c r="D214" t="s">
        <v>27</v>
      </c>
      <c r="E214" t="s">
        <v>49</v>
      </c>
      <c r="F214" t="s">
        <v>50</v>
      </c>
      <c r="G214" t="s">
        <v>36</v>
      </c>
      <c r="H214">
        <v>765</v>
      </c>
      <c r="I214">
        <v>87</v>
      </c>
      <c r="J214">
        <v>60</v>
      </c>
      <c r="K214">
        <v>27</v>
      </c>
      <c r="L214">
        <v>19</v>
      </c>
      <c r="M214">
        <v>36</v>
      </c>
      <c r="Q214">
        <v>10000</v>
      </c>
      <c r="R214" t="s">
        <v>37</v>
      </c>
      <c r="S214">
        <v>-27</v>
      </c>
      <c r="T214" t="s">
        <v>26</v>
      </c>
      <c r="U214" s="1">
        <v>9.9990000999900002E-5</v>
      </c>
      <c r="V214">
        <v>7.9992000799920002E-4</v>
      </c>
      <c r="W214" t="b">
        <v>1</v>
      </c>
      <c r="X214">
        <v>8</v>
      </c>
      <c r="Y214">
        <v>0</v>
      </c>
      <c r="Z214">
        <v>10000</v>
      </c>
      <c r="AA214">
        <v>10000</v>
      </c>
    </row>
    <row r="215" spans="1:27" x14ac:dyDescent="0.2">
      <c r="A215" t="s">
        <v>54</v>
      </c>
      <c r="B215" t="s">
        <v>55</v>
      </c>
      <c r="C215" t="s">
        <v>26</v>
      </c>
      <c r="D215" t="s">
        <v>27</v>
      </c>
      <c r="E215" t="s">
        <v>49</v>
      </c>
      <c r="F215" t="s">
        <v>50</v>
      </c>
      <c r="G215" t="s">
        <v>38</v>
      </c>
      <c r="H215">
        <v>765</v>
      </c>
      <c r="I215">
        <v>0.112947937795807</v>
      </c>
      <c r="J215">
        <v>0.54690161873402099</v>
      </c>
      <c r="K215">
        <v>-0.43395368093821302</v>
      </c>
      <c r="L215">
        <v>-0.53448751866817401</v>
      </c>
      <c r="M215">
        <v>-0.34555216357111901</v>
      </c>
      <c r="Q215">
        <v>10000</v>
      </c>
      <c r="R215" t="s">
        <v>31</v>
      </c>
      <c r="S215">
        <v>-0.43395368093821302</v>
      </c>
      <c r="T215" t="s">
        <v>26</v>
      </c>
      <c r="U215" s="1">
        <v>9.9990000999900002E-5</v>
      </c>
      <c r="V215">
        <v>7.9992000799920002E-4</v>
      </c>
      <c r="W215" t="b">
        <v>1</v>
      </c>
      <c r="X215">
        <v>8</v>
      </c>
      <c r="Y215">
        <v>0</v>
      </c>
      <c r="Z215">
        <v>10000</v>
      </c>
      <c r="AA215">
        <v>10000</v>
      </c>
    </row>
    <row r="216" spans="1:27" x14ac:dyDescent="0.2">
      <c r="A216" t="s">
        <v>54</v>
      </c>
      <c r="B216" t="s">
        <v>55</v>
      </c>
      <c r="C216" t="s">
        <v>26</v>
      </c>
      <c r="D216" t="s">
        <v>27</v>
      </c>
      <c r="E216" t="s">
        <v>49</v>
      </c>
      <c r="F216" t="s">
        <v>50</v>
      </c>
      <c r="G216" t="s">
        <v>39</v>
      </c>
      <c r="H216">
        <v>765</v>
      </c>
      <c r="I216">
        <v>0.49610924626182401</v>
      </c>
      <c r="J216">
        <v>0.89039772149323504</v>
      </c>
      <c r="K216">
        <v>-0.39428847523140997</v>
      </c>
      <c r="L216">
        <v>-0.42431337982416101</v>
      </c>
      <c r="M216">
        <v>-0.36116152405738799</v>
      </c>
      <c r="Q216">
        <v>10000</v>
      </c>
      <c r="R216" t="s">
        <v>31</v>
      </c>
      <c r="S216">
        <v>-0.39428847523140997</v>
      </c>
      <c r="T216" t="s">
        <v>26</v>
      </c>
      <c r="U216" s="1">
        <v>9.9990000999900002E-5</v>
      </c>
      <c r="V216">
        <v>7.9992000799920002E-4</v>
      </c>
      <c r="W216" t="b">
        <v>1</v>
      </c>
      <c r="X216">
        <v>8</v>
      </c>
      <c r="Y216">
        <v>0</v>
      </c>
      <c r="Z216">
        <v>10000</v>
      </c>
      <c r="AA216">
        <v>10000</v>
      </c>
    </row>
    <row r="217" spans="1:27" x14ac:dyDescent="0.2">
      <c r="A217" t="s">
        <v>56</v>
      </c>
      <c r="B217" t="s">
        <v>57</v>
      </c>
      <c r="C217" t="s">
        <v>24</v>
      </c>
      <c r="D217" t="s">
        <v>25</v>
      </c>
      <c r="E217" t="s">
        <v>28</v>
      </c>
      <c r="F217" t="s">
        <v>29</v>
      </c>
      <c r="G217" t="s">
        <v>30</v>
      </c>
      <c r="H217">
        <v>3156</v>
      </c>
      <c r="I217">
        <v>0.58577554227633899</v>
      </c>
      <c r="J217">
        <v>0.61272971634046702</v>
      </c>
      <c r="K217">
        <v>-2.6954174064127302E-2</v>
      </c>
      <c r="L217">
        <v>-3.79450961947441E-2</v>
      </c>
      <c r="M217">
        <v>-1.6191184520721401E-2</v>
      </c>
      <c r="Q217">
        <v>10000</v>
      </c>
      <c r="R217" t="s">
        <v>31</v>
      </c>
      <c r="S217">
        <v>-2.6954174064127302E-2</v>
      </c>
      <c r="T217" t="s">
        <v>24</v>
      </c>
      <c r="U217" s="1">
        <v>9.9990000999900002E-5</v>
      </c>
      <c r="V217">
        <v>7.9992000799920002E-4</v>
      </c>
      <c r="W217" t="b">
        <v>1</v>
      </c>
      <c r="X217">
        <v>8</v>
      </c>
      <c r="Y217">
        <v>0</v>
      </c>
      <c r="Z217">
        <v>10000</v>
      </c>
      <c r="AA217">
        <v>10000</v>
      </c>
    </row>
    <row r="218" spans="1:27" x14ac:dyDescent="0.2">
      <c r="A218" t="s">
        <v>56</v>
      </c>
      <c r="B218" t="s">
        <v>57</v>
      </c>
      <c r="C218" t="s">
        <v>24</v>
      </c>
      <c r="D218" t="s">
        <v>25</v>
      </c>
      <c r="E218" t="s">
        <v>28</v>
      </c>
      <c r="F218" t="s">
        <v>29</v>
      </c>
      <c r="G218" t="s">
        <v>32</v>
      </c>
      <c r="H218">
        <v>3156</v>
      </c>
      <c r="I218">
        <v>0.303112257443857</v>
      </c>
      <c r="J218">
        <v>0.34712569906073598</v>
      </c>
      <c r="K218">
        <v>-4.4013441616879402E-2</v>
      </c>
      <c r="L218">
        <v>-7.3289000242948502E-2</v>
      </c>
      <c r="M218">
        <v>-1.52521274983883E-2</v>
      </c>
      <c r="Q218">
        <v>10000</v>
      </c>
      <c r="R218" t="s">
        <v>31</v>
      </c>
      <c r="S218">
        <v>-4.4013441616879402E-2</v>
      </c>
      <c r="T218" t="s">
        <v>24</v>
      </c>
      <c r="U218">
        <v>4.4995500449955001E-3</v>
      </c>
      <c r="V218">
        <v>8.9991000899910002E-3</v>
      </c>
      <c r="W218" t="b">
        <v>1</v>
      </c>
      <c r="X218">
        <v>8</v>
      </c>
      <c r="Y218">
        <v>44</v>
      </c>
      <c r="Z218">
        <v>10000</v>
      </c>
      <c r="AA218">
        <v>10000</v>
      </c>
    </row>
    <row r="219" spans="1:27" x14ac:dyDescent="0.2">
      <c r="A219" t="s">
        <v>56</v>
      </c>
      <c r="B219" t="s">
        <v>57</v>
      </c>
      <c r="C219" t="s">
        <v>24</v>
      </c>
      <c r="D219" t="s">
        <v>25</v>
      </c>
      <c r="E219" t="s">
        <v>28</v>
      </c>
      <c r="F219" t="s">
        <v>29</v>
      </c>
      <c r="G219" t="s">
        <v>33</v>
      </c>
      <c r="H219">
        <v>3156</v>
      </c>
      <c r="I219">
        <v>0.31040268456375802</v>
      </c>
      <c r="J219">
        <v>0.3861852433281</v>
      </c>
      <c r="K219">
        <v>-7.5782558764342006E-2</v>
      </c>
      <c r="L219">
        <v>-0.102979114651679</v>
      </c>
      <c r="M219">
        <v>-4.8947655409574499E-2</v>
      </c>
      <c r="Q219">
        <v>10000</v>
      </c>
      <c r="R219" t="s">
        <v>31</v>
      </c>
      <c r="S219">
        <v>-7.5782558764342006E-2</v>
      </c>
      <c r="T219" t="s">
        <v>24</v>
      </c>
      <c r="U219" s="1">
        <v>9.9990000999900002E-5</v>
      </c>
      <c r="V219">
        <v>7.9992000799920002E-4</v>
      </c>
      <c r="W219" t="b">
        <v>1</v>
      </c>
      <c r="X219">
        <v>8</v>
      </c>
      <c r="Y219">
        <v>0</v>
      </c>
      <c r="Z219">
        <v>10000</v>
      </c>
      <c r="AA219">
        <v>10000</v>
      </c>
    </row>
    <row r="220" spans="1:27" x14ac:dyDescent="0.2">
      <c r="A220" t="s">
        <v>56</v>
      </c>
      <c r="B220" t="s">
        <v>57</v>
      </c>
      <c r="C220" t="s">
        <v>24</v>
      </c>
      <c r="D220" t="s">
        <v>25</v>
      </c>
      <c r="E220" t="s">
        <v>28</v>
      </c>
      <c r="F220" t="s">
        <v>29</v>
      </c>
      <c r="G220" t="s">
        <v>34</v>
      </c>
      <c r="H220">
        <v>3156</v>
      </c>
      <c r="I220">
        <v>0.80086580086579995</v>
      </c>
      <c r="J220">
        <v>0.78594249201277899</v>
      </c>
      <c r="K220">
        <v>1.49233088530212E-2</v>
      </c>
      <c r="L220">
        <v>-2.7616694569587701E-2</v>
      </c>
      <c r="M220">
        <v>5.7478882372379199E-2</v>
      </c>
      <c r="Q220">
        <v>10000</v>
      </c>
      <c r="R220" t="s">
        <v>31</v>
      </c>
      <c r="S220">
        <v>1.49233088530212E-2</v>
      </c>
      <c r="T220" t="s">
        <v>56</v>
      </c>
      <c r="U220">
        <v>0.49365063493650602</v>
      </c>
      <c r="V220">
        <v>0.49365063493650602</v>
      </c>
      <c r="W220" t="b">
        <v>0</v>
      </c>
      <c r="X220">
        <v>8</v>
      </c>
      <c r="Y220">
        <v>4936</v>
      </c>
      <c r="Z220">
        <v>10000</v>
      </c>
      <c r="AA220">
        <v>10000</v>
      </c>
    </row>
    <row r="221" spans="1:27" x14ac:dyDescent="0.2">
      <c r="A221" t="s">
        <v>56</v>
      </c>
      <c r="B221" t="s">
        <v>57</v>
      </c>
      <c r="C221" t="s">
        <v>24</v>
      </c>
      <c r="D221" t="s">
        <v>25</v>
      </c>
      <c r="E221" t="s">
        <v>28</v>
      </c>
      <c r="F221" t="s">
        <v>29</v>
      </c>
      <c r="G221" t="s">
        <v>35</v>
      </c>
      <c r="H221">
        <v>3156</v>
      </c>
      <c r="I221">
        <v>0.19250780437044701</v>
      </c>
      <c r="J221">
        <v>0.25598335067637801</v>
      </c>
      <c r="K221">
        <v>-6.3475546305931302E-2</v>
      </c>
      <c r="L221">
        <v>-8.4287211298942497E-2</v>
      </c>
      <c r="M221">
        <v>-4.2663902044296202E-2</v>
      </c>
      <c r="Q221">
        <v>10000</v>
      </c>
      <c r="R221" t="s">
        <v>31</v>
      </c>
      <c r="S221">
        <v>-6.3475546305931302E-2</v>
      </c>
      <c r="T221" t="s">
        <v>24</v>
      </c>
      <c r="U221" s="1">
        <v>9.9990000999900002E-5</v>
      </c>
      <c r="V221">
        <v>7.9992000799920002E-4</v>
      </c>
      <c r="W221" t="b">
        <v>1</v>
      </c>
      <c r="X221">
        <v>8</v>
      </c>
      <c r="Y221">
        <v>0</v>
      </c>
      <c r="Z221">
        <v>10000</v>
      </c>
      <c r="AA221">
        <v>10000</v>
      </c>
    </row>
    <row r="222" spans="1:27" x14ac:dyDescent="0.2">
      <c r="A222" t="s">
        <v>56</v>
      </c>
      <c r="B222" t="s">
        <v>57</v>
      </c>
      <c r="C222" t="s">
        <v>24</v>
      </c>
      <c r="D222" t="s">
        <v>25</v>
      </c>
      <c r="E222" t="s">
        <v>28</v>
      </c>
      <c r="F222" t="s">
        <v>29</v>
      </c>
      <c r="G222" t="s">
        <v>36</v>
      </c>
      <c r="H222">
        <v>3156</v>
      </c>
      <c r="I222">
        <v>776</v>
      </c>
      <c r="J222">
        <v>715</v>
      </c>
      <c r="K222">
        <v>61</v>
      </c>
      <c r="L222">
        <v>41</v>
      </c>
      <c r="M222">
        <v>81</v>
      </c>
      <c r="Q222">
        <v>10000</v>
      </c>
      <c r="R222" t="s">
        <v>37</v>
      </c>
      <c r="S222">
        <v>-61</v>
      </c>
      <c r="T222" t="s">
        <v>24</v>
      </c>
      <c r="U222" s="1">
        <v>9.9990000999900002E-5</v>
      </c>
      <c r="V222">
        <v>7.9992000799920002E-4</v>
      </c>
      <c r="W222" t="b">
        <v>1</v>
      </c>
      <c r="X222">
        <v>8</v>
      </c>
      <c r="Y222">
        <v>0</v>
      </c>
      <c r="Z222">
        <v>10000</v>
      </c>
      <c r="AA222">
        <v>10000</v>
      </c>
    </row>
    <row r="223" spans="1:27" x14ac:dyDescent="0.2">
      <c r="A223" t="s">
        <v>56</v>
      </c>
      <c r="B223" t="s">
        <v>57</v>
      </c>
      <c r="C223" t="s">
        <v>24</v>
      </c>
      <c r="D223" t="s">
        <v>25</v>
      </c>
      <c r="E223" t="s">
        <v>28</v>
      </c>
      <c r="F223" t="s">
        <v>29</v>
      </c>
      <c r="G223" t="s">
        <v>38</v>
      </c>
      <c r="H223">
        <v>3156</v>
      </c>
      <c r="I223">
        <v>0.60880440099081201</v>
      </c>
      <c r="J223">
        <v>0.63059930879460202</v>
      </c>
      <c r="K223">
        <v>-2.17949078037903E-2</v>
      </c>
      <c r="L223">
        <v>-3.4934027493000001E-2</v>
      </c>
      <c r="M223">
        <v>-7.8362688422203095E-3</v>
      </c>
      <c r="Q223">
        <v>10000</v>
      </c>
      <c r="R223" t="s">
        <v>31</v>
      </c>
      <c r="S223">
        <v>-2.17949078037903E-2</v>
      </c>
      <c r="T223" t="s">
        <v>24</v>
      </c>
      <c r="U223">
        <v>2.8997100289971001E-3</v>
      </c>
      <c r="V223">
        <v>8.6991300869913007E-3</v>
      </c>
      <c r="W223" t="b">
        <v>1</v>
      </c>
      <c r="X223">
        <v>8</v>
      </c>
      <c r="Y223">
        <v>28</v>
      </c>
      <c r="Z223">
        <v>10000</v>
      </c>
      <c r="AA223">
        <v>10000</v>
      </c>
    </row>
    <row r="224" spans="1:27" x14ac:dyDescent="0.2">
      <c r="A224" t="s">
        <v>56</v>
      </c>
      <c r="B224" t="s">
        <v>57</v>
      </c>
      <c r="C224" t="s">
        <v>24</v>
      </c>
      <c r="D224" t="s">
        <v>25</v>
      </c>
      <c r="E224" t="s">
        <v>28</v>
      </c>
      <c r="F224" t="s">
        <v>29</v>
      </c>
      <c r="G224" t="s">
        <v>39</v>
      </c>
      <c r="H224">
        <v>3156</v>
      </c>
      <c r="I224">
        <v>0.75766890506519602</v>
      </c>
      <c r="J224">
        <v>0.768577720151986</v>
      </c>
      <c r="K224">
        <v>-1.0908815086790201E-2</v>
      </c>
      <c r="L224">
        <v>-1.70003041625022E-2</v>
      </c>
      <c r="M224">
        <v>-4.7205924987793E-3</v>
      </c>
      <c r="Q224">
        <v>10000</v>
      </c>
      <c r="R224" t="s">
        <v>31</v>
      </c>
      <c r="S224">
        <v>-1.0908815086790201E-2</v>
      </c>
      <c r="T224" t="s">
        <v>24</v>
      </c>
      <c r="U224">
        <v>9.9990000999900007E-4</v>
      </c>
      <c r="V224">
        <v>3.9996000399960003E-3</v>
      </c>
      <c r="W224" t="b">
        <v>1</v>
      </c>
      <c r="X224">
        <v>8</v>
      </c>
      <c r="Y224">
        <v>9</v>
      </c>
      <c r="Z224">
        <v>10000</v>
      </c>
      <c r="AA224">
        <v>10000</v>
      </c>
    </row>
    <row r="225" spans="1:27" x14ac:dyDescent="0.2">
      <c r="A225" t="s">
        <v>56</v>
      </c>
      <c r="B225" t="s">
        <v>57</v>
      </c>
      <c r="C225" t="s">
        <v>24</v>
      </c>
      <c r="D225" t="s">
        <v>25</v>
      </c>
      <c r="E225" t="s">
        <v>40</v>
      </c>
      <c r="F225" t="s">
        <v>41</v>
      </c>
      <c r="G225" t="s">
        <v>30</v>
      </c>
      <c r="H225">
        <v>2391</v>
      </c>
      <c r="I225">
        <v>0.576962615906077</v>
      </c>
      <c r="J225">
        <v>0.60511231217822703</v>
      </c>
      <c r="K225">
        <v>-2.8149696272149801E-2</v>
      </c>
      <c r="L225">
        <v>-4.0076315402984598E-2</v>
      </c>
      <c r="M225">
        <v>-1.6396826505660999E-2</v>
      </c>
      <c r="Q225">
        <v>10000</v>
      </c>
      <c r="R225" t="s">
        <v>31</v>
      </c>
      <c r="S225">
        <v>-2.8149696272149801E-2</v>
      </c>
      <c r="T225" t="s">
        <v>24</v>
      </c>
      <c r="U225" s="1">
        <v>9.9990000999900002E-5</v>
      </c>
      <c r="V225">
        <v>7.9992000799920002E-4</v>
      </c>
      <c r="W225" t="b">
        <v>1</v>
      </c>
      <c r="X225">
        <v>8</v>
      </c>
      <c r="Y225">
        <v>0</v>
      </c>
      <c r="Z225">
        <v>10000</v>
      </c>
      <c r="AA225">
        <v>10000</v>
      </c>
    </row>
    <row r="226" spans="1:27" x14ac:dyDescent="0.2">
      <c r="A226" t="s">
        <v>56</v>
      </c>
      <c r="B226" t="s">
        <v>57</v>
      </c>
      <c r="C226" t="s">
        <v>24</v>
      </c>
      <c r="D226" t="s">
        <v>25</v>
      </c>
      <c r="E226" t="s">
        <v>40</v>
      </c>
      <c r="F226" t="s">
        <v>41</v>
      </c>
      <c r="G226" t="s">
        <v>32</v>
      </c>
      <c r="H226">
        <v>2391</v>
      </c>
      <c r="I226">
        <v>0.27021722212664101</v>
      </c>
      <c r="J226">
        <v>0.31884687251506699</v>
      </c>
      <c r="K226">
        <v>-4.8629650388426197E-2</v>
      </c>
      <c r="L226">
        <v>-7.9811408370733194E-2</v>
      </c>
      <c r="M226">
        <v>-1.6882266104221302E-2</v>
      </c>
      <c r="Q226">
        <v>10000</v>
      </c>
      <c r="R226" t="s">
        <v>31</v>
      </c>
      <c r="S226">
        <v>-4.8629650388426197E-2</v>
      </c>
      <c r="T226" t="s">
        <v>24</v>
      </c>
      <c r="U226">
        <v>2.3997600239975998E-3</v>
      </c>
      <c r="V226">
        <v>9.5990400959903993E-3</v>
      </c>
      <c r="W226" t="b">
        <v>1</v>
      </c>
      <c r="X226">
        <v>8</v>
      </c>
      <c r="Y226">
        <v>23</v>
      </c>
      <c r="Z226">
        <v>10000</v>
      </c>
      <c r="AA226">
        <v>10000</v>
      </c>
    </row>
    <row r="227" spans="1:27" x14ac:dyDescent="0.2">
      <c r="A227" t="s">
        <v>56</v>
      </c>
      <c r="B227" t="s">
        <v>57</v>
      </c>
      <c r="C227" t="s">
        <v>24</v>
      </c>
      <c r="D227" t="s">
        <v>25</v>
      </c>
      <c r="E227" t="s">
        <v>40</v>
      </c>
      <c r="F227" t="s">
        <v>41</v>
      </c>
      <c r="G227" t="s">
        <v>33</v>
      </c>
      <c r="H227">
        <v>2391</v>
      </c>
      <c r="I227">
        <v>0.293457943925233</v>
      </c>
      <c r="J227">
        <v>0.37696335078533999</v>
      </c>
      <c r="K227">
        <v>-8.3505406860106698E-2</v>
      </c>
      <c r="L227">
        <v>-0.112760600447654</v>
      </c>
      <c r="M227">
        <v>-5.4430715739726999E-2</v>
      </c>
      <c r="Q227">
        <v>10000</v>
      </c>
      <c r="R227" t="s">
        <v>31</v>
      </c>
      <c r="S227">
        <v>-8.3505406860106698E-2</v>
      </c>
      <c r="T227" t="s">
        <v>24</v>
      </c>
      <c r="U227" s="1">
        <v>9.9990000999900002E-5</v>
      </c>
      <c r="V227">
        <v>7.9992000799920002E-4</v>
      </c>
      <c r="W227" t="b">
        <v>1</v>
      </c>
      <c r="X227">
        <v>8</v>
      </c>
      <c r="Y227">
        <v>0</v>
      </c>
      <c r="Z227">
        <v>10000</v>
      </c>
      <c r="AA227">
        <v>10000</v>
      </c>
    </row>
    <row r="228" spans="1:27" x14ac:dyDescent="0.2">
      <c r="A228" t="s">
        <v>56</v>
      </c>
      <c r="B228" t="s">
        <v>57</v>
      </c>
      <c r="C228" t="s">
        <v>24</v>
      </c>
      <c r="D228" t="s">
        <v>25</v>
      </c>
      <c r="E228" t="s">
        <v>40</v>
      </c>
      <c r="F228" t="s">
        <v>41</v>
      </c>
      <c r="G228" t="s">
        <v>34</v>
      </c>
      <c r="H228">
        <v>2391</v>
      </c>
      <c r="I228">
        <v>0.80102040816326503</v>
      </c>
      <c r="J228">
        <v>0.79411764705882304</v>
      </c>
      <c r="K228">
        <v>6.9027611044417602E-3</v>
      </c>
      <c r="L228">
        <v>-3.7144435942173003E-2</v>
      </c>
      <c r="M228">
        <v>5.1283940672874402E-2</v>
      </c>
      <c r="Q228">
        <v>10000</v>
      </c>
      <c r="R228" t="s">
        <v>31</v>
      </c>
      <c r="S228">
        <v>6.9027611044417602E-3</v>
      </c>
      <c r="T228" t="s">
        <v>56</v>
      </c>
      <c r="U228">
        <v>0.76882311768823097</v>
      </c>
      <c r="V228">
        <v>0.76882311768823097</v>
      </c>
      <c r="W228" t="b">
        <v>0</v>
      </c>
      <c r="X228">
        <v>8</v>
      </c>
      <c r="Y228">
        <v>7688</v>
      </c>
      <c r="Z228">
        <v>10000</v>
      </c>
      <c r="AA228">
        <v>10000</v>
      </c>
    </row>
    <row r="229" spans="1:27" x14ac:dyDescent="0.2">
      <c r="A229" t="s">
        <v>56</v>
      </c>
      <c r="B229" t="s">
        <v>57</v>
      </c>
      <c r="C229" t="s">
        <v>24</v>
      </c>
      <c r="D229" t="s">
        <v>25</v>
      </c>
      <c r="E229" t="s">
        <v>40</v>
      </c>
      <c r="F229" t="s">
        <v>41</v>
      </c>
      <c r="G229" t="s">
        <v>35</v>
      </c>
      <c r="H229">
        <v>2391</v>
      </c>
      <c r="I229">
        <v>0.17963386727688699</v>
      </c>
      <c r="J229">
        <v>0.24713958810068601</v>
      </c>
      <c r="K229">
        <v>-6.7505720823798604E-2</v>
      </c>
      <c r="L229">
        <v>-9.0388998389243996E-2</v>
      </c>
      <c r="M229">
        <v>-4.5766592025756801E-2</v>
      </c>
      <c r="Q229">
        <v>10000</v>
      </c>
      <c r="R229" t="s">
        <v>31</v>
      </c>
      <c r="S229">
        <v>-6.7505720823798604E-2</v>
      </c>
      <c r="T229" t="s">
        <v>24</v>
      </c>
      <c r="U229" s="1">
        <v>9.9990000999900002E-5</v>
      </c>
      <c r="V229">
        <v>7.9992000799920002E-4</v>
      </c>
      <c r="W229" t="b">
        <v>1</v>
      </c>
      <c r="X229">
        <v>8</v>
      </c>
      <c r="Y229">
        <v>0</v>
      </c>
      <c r="Z229">
        <v>10000</v>
      </c>
      <c r="AA229">
        <v>10000</v>
      </c>
    </row>
    <row r="230" spans="1:27" x14ac:dyDescent="0.2">
      <c r="A230" t="s">
        <v>56</v>
      </c>
      <c r="B230" t="s">
        <v>57</v>
      </c>
      <c r="C230" t="s">
        <v>24</v>
      </c>
      <c r="D230" t="s">
        <v>25</v>
      </c>
      <c r="E230" t="s">
        <v>40</v>
      </c>
      <c r="F230" t="s">
        <v>41</v>
      </c>
      <c r="G230" t="s">
        <v>36</v>
      </c>
      <c r="H230">
        <v>2391</v>
      </c>
      <c r="I230">
        <v>717</v>
      </c>
      <c r="J230">
        <v>658</v>
      </c>
      <c r="K230">
        <v>59</v>
      </c>
      <c r="L230">
        <v>40</v>
      </c>
      <c r="M230">
        <v>79</v>
      </c>
      <c r="Q230">
        <v>10000</v>
      </c>
      <c r="R230" t="s">
        <v>37</v>
      </c>
      <c r="S230">
        <v>-59</v>
      </c>
      <c r="T230" t="s">
        <v>24</v>
      </c>
      <c r="U230" s="1">
        <v>9.9990000999900002E-5</v>
      </c>
      <c r="V230">
        <v>7.9992000799920002E-4</v>
      </c>
      <c r="W230" t="b">
        <v>1</v>
      </c>
      <c r="X230">
        <v>8</v>
      </c>
      <c r="Y230">
        <v>0</v>
      </c>
      <c r="Z230">
        <v>10000</v>
      </c>
      <c r="AA230">
        <v>10000</v>
      </c>
    </row>
    <row r="231" spans="1:27" x14ac:dyDescent="0.2">
      <c r="A231" t="s">
        <v>56</v>
      </c>
      <c r="B231" t="s">
        <v>57</v>
      </c>
      <c r="C231" t="s">
        <v>24</v>
      </c>
      <c r="D231" t="s">
        <v>25</v>
      </c>
      <c r="E231" t="s">
        <v>40</v>
      </c>
      <c r="F231" t="s">
        <v>41</v>
      </c>
      <c r="G231" t="s">
        <v>38</v>
      </c>
      <c r="H231">
        <v>2391</v>
      </c>
      <c r="I231">
        <v>0.63230042538498099</v>
      </c>
      <c r="J231">
        <v>0.65112240052524994</v>
      </c>
      <c r="K231">
        <v>-1.8821975140268801E-2</v>
      </c>
      <c r="L231">
        <v>-3.2114653289318E-2</v>
      </c>
      <c r="M231">
        <v>-4.3768063187599199E-3</v>
      </c>
      <c r="Q231">
        <v>10000</v>
      </c>
      <c r="R231" t="s">
        <v>31</v>
      </c>
      <c r="S231">
        <v>-1.8821975140268801E-2</v>
      </c>
      <c r="T231" t="s">
        <v>24</v>
      </c>
      <c r="U231">
        <v>1.23987601239876E-2</v>
      </c>
      <c r="V231">
        <v>3.7196280371962799E-2</v>
      </c>
      <c r="W231" t="b">
        <v>1</v>
      </c>
      <c r="X231">
        <v>8</v>
      </c>
      <c r="Y231">
        <v>123</v>
      </c>
      <c r="Z231">
        <v>10000</v>
      </c>
      <c r="AA231">
        <v>10000</v>
      </c>
    </row>
    <row r="232" spans="1:27" x14ac:dyDescent="0.2">
      <c r="A232" t="s">
        <v>56</v>
      </c>
      <c r="B232" t="s">
        <v>57</v>
      </c>
      <c r="C232" t="s">
        <v>24</v>
      </c>
      <c r="D232" t="s">
        <v>25</v>
      </c>
      <c r="E232" t="s">
        <v>40</v>
      </c>
      <c r="F232" t="s">
        <v>41</v>
      </c>
      <c r="G232" t="s">
        <v>39</v>
      </c>
      <c r="H232">
        <v>2391</v>
      </c>
      <c r="I232">
        <v>0.73373317504589397</v>
      </c>
      <c r="J232">
        <v>0.74294306026738899</v>
      </c>
      <c r="K232">
        <v>-9.2098852214942406E-3</v>
      </c>
      <c r="L232">
        <v>-1.6010043025016699E-2</v>
      </c>
      <c r="M232">
        <v>-2.28145271539688E-3</v>
      </c>
      <c r="Q232">
        <v>10000</v>
      </c>
      <c r="R232" t="s">
        <v>31</v>
      </c>
      <c r="S232">
        <v>-9.2098852214942406E-3</v>
      </c>
      <c r="T232" t="s">
        <v>24</v>
      </c>
      <c r="U232">
        <v>1.7898210178982101E-2</v>
      </c>
      <c r="V232">
        <v>3.7196280371962799E-2</v>
      </c>
      <c r="W232" t="b">
        <v>1</v>
      </c>
      <c r="X232">
        <v>8</v>
      </c>
      <c r="Y232">
        <v>178</v>
      </c>
      <c r="Z232">
        <v>10000</v>
      </c>
      <c r="AA232">
        <v>10000</v>
      </c>
    </row>
    <row r="233" spans="1:27" x14ac:dyDescent="0.2">
      <c r="A233" t="s">
        <v>56</v>
      </c>
      <c r="B233" t="s">
        <v>57</v>
      </c>
      <c r="C233" t="s">
        <v>24</v>
      </c>
      <c r="D233" t="s">
        <v>25</v>
      </c>
      <c r="E233" t="s">
        <v>42</v>
      </c>
      <c r="F233" t="s">
        <v>43</v>
      </c>
      <c r="G233" t="s">
        <v>44</v>
      </c>
      <c r="H233">
        <v>765</v>
      </c>
      <c r="I233">
        <v>0.355571580032011</v>
      </c>
      <c r="J233">
        <v>0.36315938610431098</v>
      </c>
      <c r="K233">
        <v>-7.5878060723007998E-3</v>
      </c>
      <c r="L233">
        <v>-1.69507004320621E-2</v>
      </c>
      <c r="M233">
        <v>1.7853230237960701E-3</v>
      </c>
      <c r="Q233">
        <v>10000</v>
      </c>
      <c r="R233" t="s">
        <v>37</v>
      </c>
      <c r="S233">
        <v>7.5878060723007998E-3</v>
      </c>
      <c r="T233" t="s">
        <v>56</v>
      </c>
      <c r="U233">
        <v>0.114188581141885</v>
      </c>
      <c r="V233">
        <v>0.57094290570942896</v>
      </c>
      <c r="W233" t="b">
        <v>0</v>
      </c>
      <c r="X233">
        <v>5</v>
      </c>
      <c r="Y233">
        <v>1141</v>
      </c>
      <c r="Z233">
        <v>10000</v>
      </c>
      <c r="AA233">
        <v>10000</v>
      </c>
    </row>
    <row r="234" spans="1:27" x14ac:dyDescent="0.2">
      <c r="A234" t="s">
        <v>56</v>
      </c>
      <c r="B234" t="s">
        <v>57</v>
      </c>
      <c r="C234" t="s">
        <v>24</v>
      </c>
      <c r="D234" t="s">
        <v>25</v>
      </c>
      <c r="E234" t="s">
        <v>42</v>
      </c>
      <c r="F234" t="s">
        <v>43</v>
      </c>
      <c r="G234" t="s">
        <v>45</v>
      </c>
      <c r="H234">
        <v>765</v>
      </c>
      <c r="I234">
        <v>0.23346668149644201</v>
      </c>
      <c r="J234">
        <v>0.23537445416809899</v>
      </c>
      <c r="K234">
        <v>-1.90777267165762E-3</v>
      </c>
      <c r="L234">
        <v>-1.2766276299953401E-2</v>
      </c>
      <c r="M234">
        <v>8.76426920294761E-3</v>
      </c>
      <c r="Q234">
        <v>10000</v>
      </c>
      <c r="R234" t="s">
        <v>37</v>
      </c>
      <c r="S234">
        <v>1.90777267165762E-3</v>
      </c>
      <c r="T234" t="s">
        <v>56</v>
      </c>
      <c r="U234">
        <v>0.73602639736026398</v>
      </c>
      <c r="V234">
        <v>1</v>
      </c>
      <c r="W234" t="b">
        <v>0</v>
      </c>
      <c r="X234">
        <v>5</v>
      </c>
      <c r="Y234">
        <v>7360</v>
      </c>
      <c r="Z234">
        <v>10000</v>
      </c>
      <c r="AA234">
        <v>10000</v>
      </c>
    </row>
    <row r="235" spans="1:27" x14ac:dyDescent="0.2">
      <c r="A235" t="s">
        <v>56</v>
      </c>
      <c r="B235" t="s">
        <v>57</v>
      </c>
      <c r="C235" t="s">
        <v>24</v>
      </c>
      <c r="D235" t="s">
        <v>25</v>
      </c>
      <c r="E235" t="s">
        <v>42</v>
      </c>
      <c r="F235" t="s">
        <v>43</v>
      </c>
      <c r="G235" t="s">
        <v>46</v>
      </c>
      <c r="H235">
        <v>765</v>
      </c>
      <c r="I235">
        <v>0.66173935711008003</v>
      </c>
      <c r="J235">
        <v>0.63937814222101397</v>
      </c>
      <c r="K235">
        <v>2.23612148890667E-2</v>
      </c>
      <c r="L235">
        <v>-9.2242792248725704E-3</v>
      </c>
      <c r="M235">
        <v>5.4164408147334898E-2</v>
      </c>
      <c r="Q235">
        <v>10000</v>
      </c>
      <c r="R235" t="s">
        <v>37</v>
      </c>
      <c r="S235">
        <v>-2.23612148890667E-2</v>
      </c>
      <c r="T235" t="s">
        <v>24</v>
      </c>
      <c r="U235">
        <v>0.17078292170782899</v>
      </c>
      <c r="V235">
        <v>0.68313168683131598</v>
      </c>
      <c r="W235" t="b">
        <v>0</v>
      </c>
      <c r="X235">
        <v>5</v>
      </c>
      <c r="Y235">
        <v>1707</v>
      </c>
      <c r="Z235">
        <v>10000</v>
      </c>
      <c r="AA235">
        <v>10000</v>
      </c>
    </row>
    <row r="236" spans="1:27" x14ac:dyDescent="0.2">
      <c r="A236" t="s">
        <v>56</v>
      </c>
      <c r="B236" t="s">
        <v>57</v>
      </c>
      <c r="C236" t="s">
        <v>24</v>
      </c>
      <c r="D236" t="s">
        <v>25</v>
      </c>
      <c r="E236" t="s">
        <v>42</v>
      </c>
      <c r="F236" t="s">
        <v>43</v>
      </c>
      <c r="G236" t="s">
        <v>47</v>
      </c>
      <c r="H236">
        <v>765</v>
      </c>
      <c r="I236">
        <v>0.755901042254575</v>
      </c>
      <c r="J236">
        <v>0.75433490413812698</v>
      </c>
      <c r="K236">
        <v>1.5661381164471201E-3</v>
      </c>
      <c r="L236">
        <v>-1.11079484224319E-2</v>
      </c>
      <c r="M236">
        <v>1.4556010067462899E-2</v>
      </c>
      <c r="Q236">
        <v>10000</v>
      </c>
      <c r="R236" t="s">
        <v>31</v>
      </c>
      <c r="S236">
        <v>1.5661381164471201E-3</v>
      </c>
      <c r="T236" t="s">
        <v>56</v>
      </c>
      <c r="U236">
        <v>0.82211778822117698</v>
      </c>
      <c r="V236">
        <v>1</v>
      </c>
      <c r="W236" t="b">
        <v>0</v>
      </c>
      <c r="X236">
        <v>5</v>
      </c>
      <c r="Y236">
        <v>8221</v>
      </c>
      <c r="Z236">
        <v>10000</v>
      </c>
      <c r="AA236">
        <v>10000</v>
      </c>
    </row>
    <row r="237" spans="1:27" x14ac:dyDescent="0.2">
      <c r="A237" t="s">
        <v>56</v>
      </c>
      <c r="B237" t="s">
        <v>57</v>
      </c>
      <c r="C237" t="s">
        <v>24</v>
      </c>
      <c r="D237" t="s">
        <v>25</v>
      </c>
      <c r="E237" t="s">
        <v>42</v>
      </c>
      <c r="F237" t="s">
        <v>43</v>
      </c>
      <c r="G237" t="s">
        <v>48</v>
      </c>
      <c r="H237">
        <v>765</v>
      </c>
      <c r="I237">
        <v>0.57124139725519496</v>
      </c>
      <c r="J237">
        <v>0.56773779691354598</v>
      </c>
      <c r="K237">
        <v>3.5036003416493099E-3</v>
      </c>
      <c r="L237">
        <v>-1.5997074544429699E-2</v>
      </c>
      <c r="M237">
        <v>2.3512747883796599E-2</v>
      </c>
      <c r="Q237">
        <v>10000</v>
      </c>
      <c r="R237" t="s">
        <v>31</v>
      </c>
      <c r="S237">
        <v>3.5036003416493099E-3</v>
      </c>
      <c r="T237" t="s">
        <v>56</v>
      </c>
      <c r="U237">
        <v>0.73602639736026398</v>
      </c>
      <c r="V237">
        <v>1</v>
      </c>
      <c r="W237" t="b">
        <v>0</v>
      </c>
      <c r="X237">
        <v>5</v>
      </c>
      <c r="Y237">
        <v>7360</v>
      </c>
      <c r="Z237">
        <v>10000</v>
      </c>
      <c r="AA237">
        <v>10000</v>
      </c>
    </row>
    <row r="238" spans="1:27" x14ac:dyDescent="0.2">
      <c r="A238" t="s">
        <v>56</v>
      </c>
      <c r="B238" t="s">
        <v>57</v>
      </c>
      <c r="C238" t="s">
        <v>24</v>
      </c>
      <c r="D238" t="s">
        <v>25</v>
      </c>
      <c r="E238" t="s">
        <v>49</v>
      </c>
      <c r="F238" t="s">
        <v>50</v>
      </c>
      <c r="G238" t="s">
        <v>30</v>
      </c>
      <c r="H238">
        <v>765</v>
      </c>
      <c r="I238">
        <v>0.65575729834197904</v>
      </c>
      <c r="J238">
        <v>0.66430169870816802</v>
      </c>
      <c r="K238">
        <v>-8.5444003661885298E-3</v>
      </c>
      <c r="L238">
        <v>-3.6542534828186E-2</v>
      </c>
      <c r="M238">
        <v>1.87163352966308E-2</v>
      </c>
      <c r="Q238">
        <v>10000</v>
      </c>
      <c r="R238" t="s">
        <v>31</v>
      </c>
      <c r="S238">
        <v>-8.5444003661885298E-3</v>
      </c>
      <c r="T238" t="s">
        <v>24</v>
      </c>
      <c r="U238">
        <v>0.65763423657634201</v>
      </c>
      <c r="V238">
        <v>1</v>
      </c>
      <c r="W238" t="b">
        <v>0</v>
      </c>
      <c r="X238">
        <v>8</v>
      </c>
      <c r="Y238">
        <v>6576</v>
      </c>
      <c r="Z238">
        <v>10000</v>
      </c>
      <c r="AA238">
        <v>10000</v>
      </c>
    </row>
    <row r="239" spans="1:27" x14ac:dyDescent="0.2">
      <c r="A239" t="s">
        <v>56</v>
      </c>
      <c r="B239" t="s">
        <v>57</v>
      </c>
      <c r="C239" t="s">
        <v>24</v>
      </c>
      <c r="D239" t="s">
        <v>25</v>
      </c>
      <c r="E239" t="s">
        <v>49</v>
      </c>
      <c r="F239" t="s">
        <v>50</v>
      </c>
      <c r="G239" t="s">
        <v>32</v>
      </c>
      <c r="H239">
        <v>765</v>
      </c>
      <c r="I239">
        <v>0.473322797061282</v>
      </c>
      <c r="J239">
        <v>0.46321787620895799</v>
      </c>
      <c r="K239">
        <v>1.0104920852323699E-2</v>
      </c>
      <c r="L239">
        <v>-6.1010789126157698E-2</v>
      </c>
      <c r="M239">
        <v>7.9061290621757402E-2</v>
      </c>
      <c r="Q239">
        <v>10000</v>
      </c>
      <c r="R239" t="s">
        <v>31</v>
      </c>
      <c r="S239">
        <v>1.0104920852323699E-2</v>
      </c>
      <c r="T239" t="s">
        <v>56</v>
      </c>
      <c r="U239">
        <v>0.81871812818718104</v>
      </c>
      <c r="V239">
        <v>1</v>
      </c>
      <c r="W239" t="b">
        <v>0</v>
      </c>
      <c r="X239">
        <v>8</v>
      </c>
      <c r="Y239">
        <v>8187</v>
      </c>
      <c r="Z239">
        <v>10000</v>
      </c>
      <c r="AA239">
        <v>10000</v>
      </c>
    </row>
    <row r="240" spans="1:27" x14ac:dyDescent="0.2">
      <c r="A240" t="s">
        <v>56</v>
      </c>
      <c r="B240" t="s">
        <v>57</v>
      </c>
      <c r="C240" t="s">
        <v>24</v>
      </c>
      <c r="D240" t="s">
        <v>25</v>
      </c>
      <c r="E240" t="s">
        <v>49</v>
      </c>
      <c r="F240" t="s">
        <v>50</v>
      </c>
      <c r="G240" t="s">
        <v>33</v>
      </c>
      <c r="H240">
        <v>765</v>
      </c>
      <c r="I240">
        <v>0.45901639344262202</v>
      </c>
      <c r="J240">
        <v>0.46875</v>
      </c>
      <c r="K240">
        <v>-9.7336065573770895E-3</v>
      </c>
      <c r="L240">
        <v>-7.3030561208724906E-2</v>
      </c>
      <c r="M240">
        <v>5.1282536238431903E-2</v>
      </c>
      <c r="Q240">
        <v>10000</v>
      </c>
      <c r="R240" t="s">
        <v>31</v>
      </c>
      <c r="S240">
        <v>-9.7336065573770895E-3</v>
      </c>
      <c r="T240" t="s">
        <v>24</v>
      </c>
      <c r="U240">
        <v>0.76472352764723495</v>
      </c>
      <c r="V240">
        <v>1</v>
      </c>
      <c r="W240" t="b">
        <v>0</v>
      </c>
      <c r="X240">
        <v>8</v>
      </c>
      <c r="Y240">
        <v>7647</v>
      </c>
      <c r="Z240">
        <v>10000</v>
      </c>
      <c r="AA240">
        <v>10000</v>
      </c>
    </row>
    <row r="241" spans="1:27" x14ac:dyDescent="0.2">
      <c r="A241" t="s">
        <v>56</v>
      </c>
      <c r="B241" t="s">
        <v>57</v>
      </c>
      <c r="C241" t="s">
        <v>24</v>
      </c>
      <c r="D241" t="s">
        <v>25</v>
      </c>
      <c r="E241" t="s">
        <v>49</v>
      </c>
      <c r="F241" t="s">
        <v>50</v>
      </c>
      <c r="G241" t="s">
        <v>34</v>
      </c>
      <c r="H241">
        <v>765</v>
      </c>
      <c r="I241">
        <v>0.8</v>
      </c>
      <c r="J241">
        <v>0.73170731707317005</v>
      </c>
      <c r="K241">
        <v>6.8292682926829301E-2</v>
      </c>
      <c r="L241">
        <v>-5.71428537368774E-2</v>
      </c>
      <c r="M241">
        <v>0.19480858594179101</v>
      </c>
      <c r="Q241">
        <v>10000</v>
      </c>
      <c r="R241" t="s">
        <v>31</v>
      </c>
      <c r="S241">
        <v>6.8292682926829301E-2</v>
      </c>
      <c r="T241" t="s">
        <v>56</v>
      </c>
      <c r="U241">
        <v>0.315968403159684</v>
      </c>
      <c r="V241">
        <v>1</v>
      </c>
      <c r="W241" t="b">
        <v>0</v>
      </c>
      <c r="X241">
        <v>8</v>
      </c>
      <c r="Y241">
        <v>3159</v>
      </c>
      <c r="Z241">
        <v>10000</v>
      </c>
      <c r="AA241">
        <v>10000</v>
      </c>
    </row>
    <row r="242" spans="1:27" x14ac:dyDescent="0.2">
      <c r="A242" t="s">
        <v>56</v>
      </c>
      <c r="B242" t="s">
        <v>57</v>
      </c>
      <c r="C242" t="s">
        <v>24</v>
      </c>
      <c r="D242" t="s">
        <v>25</v>
      </c>
      <c r="E242" t="s">
        <v>49</v>
      </c>
      <c r="F242" t="s">
        <v>50</v>
      </c>
      <c r="G242" t="s">
        <v>35</v>
      </c>
      <c r="H242">
        <v>765</v>
      </c>
      <c r="I242">
        <v>0.32183908045977</v>
      </c>
      <c r="J242">
        <v>0.34482758620689602</v>
      </c>
      <c r="K242">
        <v>-2.2988505747126398E-2</v>
      </c>
      <c r="L242">
        <v>-8.0459773540496798E-2</v>
      </c>
      <c r="M242">
        <v>3.4482747316360397E-2</v>
      </c>
      <c r="Q242">
        <v>10000</v>
      </c>
      <c r="R242" t="s">
        <v>31</v>
      </c>
      <c r="S242">
        <v>-2.2988505747126398E-2</v>
      </c>
      <c r="T242" t="s">
        <v>24</v>
      </c>
      <c r="U242">
        <v>0.682831716828317</v>
      </c>
      <c r="V242">
        <v>1</v>
      </c>
      <c r="W242" t="b">
        <v>0</v>
      </c>
      <c r="X242">
        <v>8</v>
      </c>
      <c r="Y242">
        <v>6828</v>
      </c>
      <c r="Z242">
        <v>10000</v>
      </c>
      <c r="AA242">
        <v>10000</v>
      </c>
    </row>
    <row r="243" spans="1:27" x14ac:dyDescent="0.2">
      <c r="A243" t="s">
        <v>56</v>
      </c>
      <c r="B243" t="s">
        <v>57</v>
      </c>
      <c r="C243" t="s">
        <v>24</v>
      </c>
      <c r="D243" t="s">
        <v>25</v>
      </c>
      <c r="E243" t="s">
        <v>49</v>
      </c>
      <c r="F243" t="s">
        <v>50</v>
      </c>
      <c r="G243" t="s">
        <v>36</v>
      </c>
      <c r="H243">
        <v>765</v>
      </c>
      <c r="I243">
        <v>59</v>
      </c>
      <c r="J243">
        <v>57</v>
      </c>
      <c r="K243">
        <v>2</v>
      </c>
      <c r="L243">
        <v>-3</v>
      </c>
      <c r="M243">
        <v>7</v>
      </c>
      <c r="Q243">
        <v>10000</v>
      </c>
      <c r="R243" t="s">
        <v>37</v>
      </c>
      <c r="S243">
        <v>-2</v>
      </c>
      <c r="T243" t="s">
        <v>24</v>
      </c>
      <c r="U243">
        <v>0.682831716828317</v>
      </c>
      <c r="V243">
        <v>1</v>
      </c>
      <c r="W243" t="b">
        <v>0</v>
      </c>
      <c r="X243">
        <v>8</v>
      </c>
      <c r="Y243">
        <v>6828</v>
      </c>
      <c r="Z243">
        <v>10000</v>
      </c>
      <c r="AA243">
        <v>10000</v>
      </c>
    </row>
    <row r="244" spans="1:27" x14ac:dyDescent="0.2">
      <c r="A244" t="s">
        <v>56</v>
      </c>
      <c r="B244" t="s">
        <v>57</v>
      </c>
      <c r="C244" t="s">
        <v>24</v>
      </c>
      <c r="D244" t="s">
        <v>25</v>
      </c>
      <c r="E244" t="s">
        <v>49</v>
      </c>
      <c r="F244" t="s">
        <v>50</v>
      </c>
      <c r="G244" t="s">
        <v>38</v>
      </c>
      <c r="H244">
        <v>765</v>
      </c>
      <c r="I244">
        <v>0.591867036327963</v>
      </c>
      <c r="J244">
        <v>0.60769699832702695</v>
      </c>
      <c r="K244">
        <v>-1.58299619990638E-2</v>
      </c>
      <c r="L244">
        <v>-5.66987574100494E-2</v>
      </c>
      <c r="M244">
        <v>2.39125430583953E-2</v>
      </c>
      <c r="Q244">
        <v>10000</v>
      </c>
      <c r="R244" t="s">
        <v>31</v>
      </c>
      <c r="S244">
        <v>-1.58299619990638E-2</v>
      </c>
      <c r="T244" t="s">
        <v>24</v>
      </c>
      <c r="U244">
        <v>0.46105389461053897</v>
      </c>
      <c r="V244">
        <v>1</v>
      </c>
      <c r="W244" t="b">
        <v>0</v>
      </c>
      <c r="X244">
        <v>8</v>
      </c>
      <c r="Y244">
        <v>4610</v>
      </c>
      <c r="Z244">
        <v>10000</v>
      </c>
      <c r="AA244">
        <v>10000</v>
      </c>
    </row>
    <row r="245" spans="1:27" x14ac:dyDescent="0.2">
      <c r="A245" t="s">
        <v>56</v>
      </c>
      <c r="B245" t="s">
        <v>57</v>
      </c>
      <c r="C245" t="s">
        <v>24</v>
      </c>
      <c r="D245" t="s">
        <v>25</v>
      </c>
      <c r="E245" t="s">
        <v>49</v>
      </c>
      <c r="F245" t="s">
        <v>50</v>
      </c>
      <c r="G245" t="s">
        <v>39</v>
      </c>
      <c r="H245">
        <v>765</v>
      </c>
      <c r="I245">
        <v>0.90048486081443002</v>
      </c>
      <c r="J245">
        <v>0.90114603465229004</v>
      </c>
      <c r="K245">
        <v>-6.6117383785979601E-4</v>
      </c>
      <c r="L245">
        <v>-1.5308737754821699E-2</v>
      </c>
      <c r="M245">
        <v>1.38006940484046E-2</v>
      </c>
      <c r="Q245">
        <v>10000</v>
      </c>
      <c r="R245" t="s">
        <v>31</v>
      </c>
      <c r="S245">
        <v>-6.6117383785979601E-4</v>
      </c>
      <c r="T245" t="s">
        <v>24</v>
      </c>
      <c r="U245">
        <v>0.934706529347065</v>
      </c>
      <c r="V245">
        <v>1</v>
      </c>
      <c r="W245" t="b">
        <v>0</v>
      </c>
      <c r="X245">
        <v>8</v>
      </c>
      <c r="Y245">
        <v>9347</v>
      </c>
      <c r="Z245">
        <v>10000</v>
      </c>
      <c r="AA245">
        <v>10000</v>
      </c>
    </row>
    <row r="246" spans="1:27" x14ac:dyDescent="0.2">
      <c r="A246" t="s">
        <v>56</v>
      </c>
      <c r="B246" t="s">
        <v>57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>
        <v>3156</v>
      </c>
      <c r="I246">
        <v>0.58577554227633899</v>
      </c>
      <c r="J246">
        <v>0.59019671517188499</v>
      </c>
      <c r="K246">
        <v>-4.4211728955458798E-3</v>
      </c>
      <c r="L246">
        <v>-1.6356825828552201E-2</v>
      </c>
      <c r="M246">
        <v>7.3521748185157599E-3</v>
      </c>
      <c r="Q246">
        <v>10000</v>
      </c>
      <c r="R246" t="s">
        <v>31</v>
      </c>
      <c r="S246">
        <v>-4.4211728955458798E-3</v>
      </c>
      <c r="T246" t="s">
        <v>26</v>
      </c>
      <c r="U246">
        <v>0.455954404559544</v>
      </c>
      <c r="V246">
        <v>1</v>
      </c>
      <c r="W246" t="b">
        <v>0</v>
      </c>
      <c r="X246">
        <v>8</v>
      </c>
      <c r="Y246">
        <v>4559</v>
      </c>
      <c r="Z246">
        <v>10000</v>
      </c>
      <c r="AA246">
        <v>10000</v>
      </c>
    </row>
    <row r="247" spans="1:27" x14ac:dyDescent="0.2">
      <c r="A247" t="s">
        <v>56</v>
      </c>
      <c r="B247" t="s">
        <v>57</v>
      </c>
      <c r="C247" t="s">
        <v>26</v>
      </c>
      <c r="D247" t="s">
        <v>27</v>
      </c>
      <c r="E247" t="s">
        <v>28</v>
      </c>
      <c r="F247" t="s">
        <v>29</v>
      </c>
      <c r="G247" t="s">
        <v>32</v>
      </c>
      <c r="H247">
        <v>3156</v>
      </c>
      <c r="I247">
        <v>0.303112257443857</v>
      </c>
      <c r="J247">
        <v>0.30682429441057202</v>
      </c>
      <c r="K247">
        <v>-3.71203696671562E-3</v>
      </c>
      <c r="L247">
        <v>-3.6651804298162401E-2</v>
      </c>
      <c r="M247">
        <v>2.9150728136300999E-2</v>
      </c>
      <c r="Q247">
        <v>10000</v>
      </c>
      <c r="R247" t="s">
        <v>31</v>
      </c>
      <c r="S247">
        <v>-3.71203696671562E-3</v>
      </c>
      <c r="T247" t="s">
        <v>26</v>
      </c>
      <c r="U247">
        <v>0.82631736826317304</v>
      </c>
      <c r="V247">
        <v>1</v>
      </c>
      <c r="W247" t="b">
        <v>0</v>
      </c>
      <c r="X247">
        <v>8</v>
      </c>
      <c r="Y247">
        <v>8263</v>
      </c>
      <c r="Z247">
        <v>10000</v>
      </c>
      <c r="AA247">
        <v>10000</v>
      </c>
    </row>
    <row r="248" spans="1:27" x14ac:dyDescent="0.2">
      <c r="A248" t="s">
        <v>56</v>
      </c>
      <c r="B248" t="s">
        <v>57</v>
      </c>
      <c r="C248" t="s">
        <v>26</v>
      </c>
      <c r="D248" t="s">
        <v>27</v>
      </c>
      <c r="E248" t="s">
        <v>28</v>
      </c>
      <c r="F248" t="s">
        <v>29</v>
      </c>
      <c r="G248" t="s">
        <v>33</v>
      </c>
      <c r="H248">
        <v>3156</v>
      </c>
      <c r="I248">
        <v>0.31040268456375802</v>
      </c>
      <c r="J248">
        <v>0.32508250825082502</v>
      </c>
      <c r="K248">
        <v>-1.46798236870667E-2</v>
      </c>
      <c r="L248">
        <v>-4.5692624896764698E-2</v>
      </c>
      <c r="M248">
        <v>1.6133216023445099E-2</v>
      </c>
      <c r="Q248">
        <v>10000</v>
      </c>
      <c r="R248" t="s">
        <v>31</v>
      </c>
      <c r="S248">
        <v>-1.46798236870667E-2</v>
      </c>
      <c r="T248" t="s">
        <v>26</v>
      </c>
      <c r="U248">
        <v>0.34086591340865902</v>
      </c>
      <c r="V248">
        <v>1</v>
      </c>
      <c r="W248" t="b">
        <v>0</v>
      </c>
      <c r="X248">
        <v>8</v>
      </c>
      <c r="Y248">
        <v>3408</v>
      </c>
      <c r="Z248">
        <v>10000</v>
      </c>
      <c r="AA248">
        <v>10000</v>
      </c>
    </row>
    <row r="249" spans="1:27" x14ac:dyDescent="0.2">
      <c r="A249" t="s">
        <v>56</v>
      </c>
      <c r="B249" t="s">
        <v>57</v>
      </c>
      <c r="C249" t="s">
        <v>26</v>
      </c>
      <c r="D249" t="s">
        <v>27</v>
      </c>
      <c r="E249" t="s">
        <v>28</v>
      </c>
      <c r="F249" t="s">
        <v>29</v>
      </c>
      <c r="G249" t="s">
        <v>34</v>
      </c>
      <c r="H249">
        <v>3156</v>
      </c>
      <c r="I249">
        <v>0.80086580086579995</v>
      </c>
      <c r="J249">
        <v>0.78486055776892405</v>
      </c>
      <c r="K249">
        <v>1.6005243096876499E-2</v>
      </c>
      <c r="L249">
        <v>-3.4937150776386199E-2</v>
      </c>
      <c r="M249">
        <v>6.7630872130393899E-2</v>
      </c>
      <c r="Q249">
        <v>10000</v>
      </c>
      <c r="R249" t="s">
        <v>31</v>
      </c>
      <c r="S249">
        <v>1.6005243096876499E-2</v>
      </c>
      <c r="T249" t="s">
        <v>56</v>
      </c>
      <c r="U249">
        <v>0.55114488551144802</v>
      </c>
      <c r="V249">
        <v>1</v>
      </c>
      <c r="W249" t="b">
        <v>0</v>
      </c>
      <c r="X249">
        <v>8</v>
      </c>
      <c r="Y249">
        <v>5511</v>
      </c>
      <c r="Z249">
        <v>10000</v>
      </c>
      <c r="AA249">
        <v>10000</v>
      </c>
    </row>
    <row r="250" spans="1:27" x14ac:dyDescent="0.2">
      <c r="A250" t="s">
        <v>56</v>
      </c>
      <c r="B250" t="s">
        <v>57</v>
      </c>
      <c r="C250" t="s">
        <v>26</v>
      </c>
      <c r="D250" t="s">
        <v>27</v>
      </c>
      <c r="E250" t="s">
        <v>28</v>
      </c>
      <c r="F250" t="s">
        <v>29</v>
      </c>
      <c r="G250" t="s">
        <v>35</v>
      </c>
      <c r="H250">
        <v>3156</v>
      </c>
      <c r="I250">
        <v>0.19250780437044701</v>
      </c>
      <c r="J250">
        <v>0.204994797086368</v>
      </c>
      <c r="K250">
        <v>-1.24869927159209E-2</v>
      </c>
      <c r="L250">
        <v>-3.5379812121391199E-2</v>
      </c>
      <c r="M250">
        <v>1.0405823588371201E-2</v>
      </c>
      <c r="Q250">
        <v>10000</v>
      </c>
      <c r="R250" t="s">
        <v>31</v>
      </c>
      <c r="S250">
        <v>-1.24869927159209E-2</v>
      </c>
      <c r="T250" t="s">
        <v>26</v>
      </c>
      <c r="U250">
        <v>0.31226877312268703</v>
      </c>
      <c r="V250">
        <v>1</v>
      </c>
      <c r="W250" t="b">
        <v>0</v>
      </c>
      <c r="X250">
        <v>8</v>
      </c>
      <c r="Y250">
        <v>3122</v>
      </c>
      <c r="Z250">
        <v>10000</v>
      </c>
      <c r="AA250">
        <v>10000</v>
      </c>
    </row>
    <row r="251" spans="1:27" x14ac:dyDescent="0.2">
      <c r="A251" t="s">
        <v>56</v>
      </c>
      <c r="B251" t="s">
        <v>57</v>
      </c>
      <c r="C251" t="s">
        <v>26</v>
      </c>
      <c r="D251" t="s">
        <v>27</v>
      </c>
      <c r="E251" t="s">
        <v>28</v>
      </c>
      <c r="F251" t="s">
        <v>29</v>
      </c>
      <c r="G251" t="s">
        <v>36</v>
      </c>
      <c r="H251">
        <v>3156</v>
      </c>
      <c r="I251">
        <v>776</v>
      </c>
      <c r="J251">
        <v>764</v>
      </c>
      <c r="K251">
        <v>12</v>
      </c>
      <c r="L251">
        <v>-10</v>
      </c>
      <c r="M251">
        <v>34</v>
      </c>
      <c r="Q251">
        <v>10000</v>
      </c>
      <c r="R251" t="s">
        <v>37</v>
      </c>
      <c r="S251">
        <v>-12</v>
      </c>
      <c r="T251" t="s">
        <v>26</v>
      </c>
      <c r="U251">
        <v>0.31226877312268703</v>
      </c>
      <c r="V251">
        <v>1</v>
      </c>
      <c r="W251" t="b">
        <v>0</v>
      </c>
      <c r="X251">
        <v>8</v>
      </c>
      <c r="Y251">
        <v>3122</v>
      </c>
      <c r="Z251">
        <v>10000</v>
      </c>
      <c r="AA251">
        <v>10000</v>
      </c>
    </row>
    <row r="252" spans="1:27" x14ac:dyDescent="0.2">
      <c r="A252" t="s">
        <v>56</v>
      </c>
      <c r="B252" t="s">
        <v>57</v>
      </c>
      <c r="C252" t="s">
        <v>26</v>
      </c>
      <c r="D252" t="s">
        <v>27</v>
      </c>
      <c r="E252" t="s">
        <v>28</v>
      </c>
      <c r="F252" t="s">
        <v>29</v>
      </c>
      <c r="G252" t="s">
        <v>38</v>
      </c>
      <c r="H252">
        <v>3156</v>
      </c>
      <c r="I252">
        <v>0.60880440099081201</v>
      </c>
      <c r="J252">
        <v>0.60170806035767499</v>
      </c>
      <c r="K252">
        <v>7.0963406331370198E-3</v>
      </c>
      <c r="L252">
        <v>-1.0087119042873301E-2</v>
      </c>
      <c r="M252">
        <v>2.44247019290924E-2</v>
      </c>
      <c r="Q252">
        <v>10000</v>
      </c>
      <c r="R252" t="s">
        <v>31</v>
      </c>
      <c r="S252">
        <v>7.0963406331370198E-3</v>
      </c>
      <c r="T252" t="s">
        <v>56</v>
      </c>
      <c r="U252">
        <v>0.41475852414758502</v>
      </c>
      <c r="V252">
        <v>1</v>
      </c>
      <c r="W252" t="b">
        <v>0</v>
      </c>
      <c r="X252">
        <v>8</v>
      </c>
      <c r="Y252">
        <v>4147</v>
      </c>
      <c r="Z252">
        <v>10000</v>
      </c>
      <c r="AA252">
        <v>10000</v>
      </c>
    </row>
    <row r="253" spans="1:27" x14ac:dyDescent="0.2">
      <c r="A253" t="s">
        <v>56</v>
      </c>
      <c r="B253" t="s">
        <v>57</v>
      </c>
      <c r="C253" t="s">
        <v>26</v>
      </c>
      <c r="D253" t="s">
        <v>27</v>
      </c>
      <c r="E253" t="s">
        <v>28</v>
      </c>
      <c r="F253" t="s">
        <v>29</v>
      </c>
      <c r="G253" t="s">
        <v>39</v>
      </c>
      <c r="H253">
        <v>3156</v>
      </c>
      <c r="I253">
        <v>0.75766890506519602</v>
      </c>
      <c r="J253">
        <v>0.75558394705590903</v>
      </c>
      <c r="K253">
        <v>2.0849580092870898E-3</v>
      </c>
      <c r="L253">
        <v>-4.9847468733787504E-3</v>
      </c>
      <c r="M253">
        <v>9.3970298767089792E-3</v>
      </c>
      <c r="Q253">
        <v>10000</v>
      </c>
      <c r="R253" t="s">
        <v>31</v>
      </c>
      <c r="S253">
        <v>2.0849580092870898E-3</v>
      </c>
      <c r="T253" t="s">
        <v>56</v>
      </c>
      <c r="U253">
        <v>0.56454354564543496</v>
      </c>
      <c r="V253">
        <v>1</v>
      </c>
      <c r="W253" t="b">
        <v>0</v>
      </c>
      <c r="X253">
        <v>8</v>
      </c>
      <c r="Y253">
        <v>5645</v>
      </c>
      <c r="Z253">
        <v>10000</v>
      </c>
      <c r="AA253">
        <v>10000</v>
      </c>
    </row>
    <row r="254" spans="1:27" x14ac:dyDescent="0.2">
      <c r="A254" t="s">
        <v>56</v>
      </c>
      <c r="B254" t="s">
        <v>57</v>
      </c>
      <c r="C254" t="s">
        <v>26</v>
      </c>
      <c r="D254" t="s">
        <v>27</v>
      </c>
      <c r="E254" t="s">
        <v>40</v>
      </c>
      <c r="F254" t="s">
        <v>41</v>
      </c>
      <c r="G254" t="s">
        <v>30</v>
      </c>
      <c r="H254">
        <v>2391</v>
      </c>
      <c r="I254">
        <v>0.576962615906077</v>
      </c>
      <c r="J254">
        <v>0.58374049106314496</v>
      </c>
      <c r="K254">
        <v>-6.77787515706806E-3</v>
      </c>
      <c r="L254">
        <v>-1.9333416223525999E-2</v>
      </c>
      <c r="M254">
        <v>5.7895720005035302E-3</v>
      </c>
      <c r="Q254">
        <v>10000</v>
      </c>
      <c r="R254" t="s">
        <v>31</v>
      </c>
      <c r="S254">
        <v>-6.77787515706806E-3</v>
      </c>
      <c r="T254" t="s">
        <v>26</v>
      </c>
      <c r="U254">
        <v>0.29247075292470698</v>
      </c>
      <c r="V254">
        <v>1</v>
      </c>
      <c r="W254" t="b">
        <v>0</v>
      </c>
      <c r="X254">
        <v>8</v>
      </c>
      <c r="Y254">
        <v>2924</v>
      </c>
      <c r="Z254">
        <v>10000</v>
      </c>
      <c r="AA254">
        <v>10000</v>
      </c>
    </row>
    <row r="255" spans="1:27" x14ac:dyDescent="0.2">
      <c r="A255" t="s">
        <v>56</v>
      </c>
      <c r="B255" t="s">
        <v>57</v>
      </c>
      <c r="C255" t="s">
        <v>26</v>
      </c>
      <c r="D255" t="s">
        <v>27</v>
      </c>
      <c r="E255" t="s">
        <v>40</v>
      </c>
      <c r="F255" t="s">
        <v>41</v>
      </c>
      <c r="G255" t="s">
        <v>32</v>
      </c>
      <c r="H255">
        <v>2391</v>
      </c>
      <c r="I255">
        <v>0.27021722212664101</v>
      </c>
      <c r="J255">
        <v>0.28434430293253798</v>
      </c>
      <c r="K255">
        <v>-1.4127080805897099E-2</v>
      </c>
      <c r="L255">
        <v>-5.0331462919712001E-2</v>
      </c>
      <c r="M255">
        <v>2.1688979864120401E-2</v>
      </c>
      <c r="Q255">
        <v>10000</v>
      </c>
      <c r="R255" t="s">
        <v>31</v>
      </c>
      <c r="S255">
        <v>-1.4127080805897099E-2</v>
      </c>
      <c r="T255" t="s">
        <v>26</v>
      </c>
      <c r="U255">
        <v>0.44335566443355601</v>
      </c>
      <c r="V255">
        <v>1</v>
      </c>
      <c r="W255" t="b">
        <v>0</v>
      </c>
      <c r="X255">
        <v>8</v>
      </c>
      <c r="Y255">
        <v>4433</v>
      </c>
      <c r="Z255">
        <v>10000</v>
      </c>
      <c r="AA255">
        <v>10000</v>
      </c>
    </row>
    <row r="256" spans="1:27" x14ac:dyDescent="0.2">
      <c r="A256" t="s">
        <v>56</v>
      </c>
      <c r="B256" t="s">
        <v>57</v>
      </c>
      <c r="C256" t="s">
        <v>26</v>
      </c>
      <c r="D256" t="s">
        <v>27</v>
      </c>
      <c r="E256" t="s">
        <v>40</v>
      </c>
      <c r="F256" t="s">
        <v>41</v>
      </c>
      <c r="G256" t="s">
        <v>33</v>
      </c>
      <c r="H256">
        <v>2391</v>
      </c>
      <c r="I256">
        <v>0.293457943925233</v>
      </c>
      <c r="J256">
        <v>0.31336405529953898</v>
      </c>
      <c r="K256">
        <v>-1.99061113743055E-2</v>
      </c>
      <c r="L256">
        <v>-5.2208641171455301E-2</v>
      </c>
      <c r="M256">
        <v>1.25217773020267E-2</v>
      </c>
      <c r="Q256">
        <v>10000</v>
      </c>
      <c r="R256" t="s">
        <v>31</v>
      </c>
      <c r="S256">
        <v>-1.99061113743055E-2</v>
      </c>
      <c r="T256" t="s">
        <v>26</v>
      </c>
      <c r="U256">
        <v>0.237076292370762</v>
      </c>
      <c r="V256">
        <v>1</v>
      </c>
      <c r="W256" t="b">
        <v>0</v>
      </c>
      <c r="X256">
        <v>8</v>
      </c>
      <c r="Y256">
        <v>2370</v>
      </c>
      <c r="Z256">
        <v>10000</v>
      </c>
      <c r="AA256">
        <v>10000</v>
      </c>
    </row>
    <row r="257" spans="1:27" x14ac:dyDescent="0.2">
      <c r="A257" t="s">
        <v>56</v>
      </c>
      <c r="B257" t="s">
        <v>57</v>
      </c>
      <c r="C257" t="s">
        <v>26</v>
      </c>
      <c r="D257" t="s">
        <v>27</v>
      </c>
      <c r="E257" t="s">
        <v>40</v>
      </c>
      <c r="F257" t="s">
        <v>41</v>
      </c>
      <c r="G257" t="s">
        <v>34</v>
      </c>
      <c r="H257">
        <v>2391</v>
      </c>
      <c r="I257">
        <v>0.80102040816326503</v>
      </c>
      <c r="J257">
        <v>0.80568720379146896</v>
      </c>
      <c r="K257">
        <v>-4.6667956282039303E-3</v>
      </c>
      <c r="L257">
        <v>-5.8668003976345001E-2</v>
      </c>
      <c r="M257">
        <v>5.0784455239772701E-2</v>
      </c>
      <c r="Q257">
        <v>10000</v>
      </c>
      <c r="R257" t="s">
        <v>31</v>
      </c>
      <c r="S257">
        <v>-4.6667956282039303E-3</v>
      </c>
      <c r="T257" t="s">
        <v>26</v>
      </c>
      <c r="U257">
        <v>0.88441155884411504</v>
      </c>
      <c r="V257">
        <v>1</v>
      </c>
      <c r="W257" t="b">
        <v>0</v>
      </c>
      <c r="X257">
        <v>8</v>
      </c>
      <c r="Y257">
        <v>8844</v>
      </c>
      <c r="Z257">
        <v>10000</v>
      </c>
      <c r="AA257">
        <v>10000</v>
      </c>
    </row>
    <row r="258" spans="1:27" x14ac:dyDescent="0.2">
      <c r="A258" t="s">
        <v>56</v>
      </c>
      <c r="B258" t="s">
        <v>57</v>
      </c>
      <c r="C258" t="s">
        <v>26</v>
      </c>
      <c r="D258" t="s">
        <v>27</v>
      </c>
      <c r="E258" t="s">
        <v>40</v>
      </c>
      <c r="F258" t="s">
        <v>41</v>
      </c>
      <c r="G258" t="s">
        <v>35</v>
      </c>
      <c r="H258">
        <v>2391</v>
      </c>
      <c r="I258">
        <v>0.17963386727688699</v>
      </c>
      <c r="J258">
        <v>0.19450800915331801</v>
      </c>
      <c r="K258">
        <v>-1.48741418764302E-2</v>
      </c>
      <c r="L258">
        <v>-3.7757441401481601E-2</v>
      </c>
      <c r="M258">
        <v>8.0091655254363996E-3</v>
      </c>
      <c r="Q258">
        <v>10000</v>
      </c>
      <c r="R258" t="s">
        <v>31</v>
      </c>
      <c r="S258">
        <v>-1.48741418764302E-2</v>
      </c>
      <c r="T258" t="s">
        <v>26</v>
      </c>
      <c r="U258">
        <v>0.25517448255174402</v>
      </c>
      <c r="V258">
        <v>1</v>
      </c>
      <c r="W258" t="b">
        <v>0</v>
      </c>
      <c r="X258">
        <v>8</v>
      </c>
      <c r="Y258">
        <v>2551</v>
      </c>
      <c r="Z258">
        <v>10000</v>
      </c>
      <c r="AA258">
        <v>10000</v>
      </c>
    </row>
    <row r="259" spans="1:27" x14ac:dyDescent="0.2">
      <c r="A259" t="s">
        <v>56</v>
      </c>
      <c r="B259" t="s">
        <v>57</v>
      </c>
      <c r="C259" t="s">
        <v>26</v>
      </c>
      <c r="D259" t="s">
        <v>27</v>
      </c>
      <c r="E259" t="s">
        <v>40</v>
      </c>
      <c r="F259" t="s">
        <v>41</v>
      </c>
      <c r="G259" t="s">
        <v>36</v>
      </c>
      <c r="H259">
        <v>2391</v>
      </c>
      <c r="I259">
        <v>717</v>
      </c>
      <c r="J259">
        <v>704</v>
      </c>
      <c r="K259">
        <v>13</v>
      </c>
      <c r="L259">
        <v>-7</v>
      </c>
      <c r="M259">
        <v>33</v>
      </c>
      <c r="Q259">
        <v>10000</v>
      </c>
      <c r="R259" t="s">
        <v>37</v>
      </c>
      <c r="S259">
        <v>-13</v>
      </c>
      <c r="T259" t="s">
        <v>26</v>
      </c>
      <c r="U259">
        <v>0.25517448255174402</v>
      </c>
      <c r="V259">
        <v>1</v>
      </c>
      <c r="W259" t="b">
        <v>0</v>
      </c>
      <c r="X259">
        <v>8</v>
      </c>
      <c r="Y259">
        <v>2551</v>
      </c>
      <c r="Z259">
        <v>10000</v>
      </c>
      <c r="AA259">
        <v>10000</v>
      </c>
    </row>
    <row r="260" spans="1:27" x14ac:dyDescent="0.2">
      <c r="A260" t="s">
        <v>56</v>
      </c>
      <c r="B260" t="s">
        <v>57</v>
      </c>
      <c r="C260" t="s">
        <v>26</v>
      </c>
      <c r="D260" t="s">
        <v>27</v>
      </c>
      <c r="E260" t="s">
        <v>40</v>
      </c>
      <c r="F260" t="s">
        <v>41</v>
      </c>
      <c r="G260" t="s">
        <v>38</v>
      </c>
      <c r="H260">
        <v>2391</v>
      </c>
      <c r="I260">
        <v>0.63230042538498099</v>
      </c>
      <c r="J260">
        <v>0.62964162854208805</v>
      </c>
      <c r="K260">
        <v>2.6587968428924899E-3</v>
      </c>
      <c r="L260">
        <v>-1.44143566489219E-2</v>
      </c>
      <c r="M260">
        <v>2.0144401490688298E-2</v>
      </c>
      <c r="Q260">
        <v>10000</v>
      </c>
      <c r="R260" t="s">
        <v>31</v>
      </c>
      <c r="S260">
        <v>2.6587968428924899E-3</v>
      </c>
      <c r="T260" t="s">
        <v>56</v>
      </c>
      <c r="U260">
        <v>0.77342265773422603</v>
      </c>
      <c r="V260">
        <v>1</v>
      </c>
      <c r="W260" t="b">
        <v>0</v>
      </c>
      <c r="X260">
        <v>8</v>
      </c>
      <c r="Y260">
        <v>7734</v>
      </c>
      <c r="Z260">
        <v>10000</v>
      </c>
      <c r="AA260">
        <v>10000</v>
      </c>
    </row>
    <row r="261" spans="1:27" x14ac:dyDescent="0.2">
      <c r="A261" t="s">
        <v>56</v>
      </c>
      <c r="B261" t="s">
        <v>57</v>
      </c>
      <c r="C261" t="s">
        <v>26</v>
      </c>
      <c r="D261" t="s">
        <v>27</v>
      </c>
      <c r="E261" t="s">
        <v>40</v>
      </c>
      <c r="F261" t="s">
        <v>41</v>
      </c>
      <c r="G261" t="s">
        <v>39</v>
      </c>
      <c r="H261">
        <v>2391</v>
      </c>
      <c r="I261">
        <v>0.73373317504589397</v>
      </c>
      <c r="J261">
        <v>0.73206029604980305</v>
      </c>
      <c r="K261">
        <v>1.6728789960915799E-3</v>
      </c>
      <c r="L261">
        <v>-6.5221786499023403E-3</v>
      </c>
      <c r="M261">
        <v>9.8654925823211601E-3</v>
      </c>
      <c r="Q261">
        <v>10000</v>
      </c>
      <c r="R261" t="s">
        <v>31</v>
      </c>
      <c r="S261">
        <v>1.6728789960915799E-3</v>
      </c>
      <c r="T261" t="s">
        <v>56</v>
      </c>
      <c r="U261">
        <v>0.69053094690530903</v>
      </c>
      <c r="V261">
        <v>1</v>
      </c>
      <c r="W261" t="b">
        <v>0</v>
      </c>
      <c r="X261">
        <v>8</v>
      </c>
      <c r="Y261">
        <v>6905</v>
      </c>
      <c r="Z261">
        <v>10000</v>
      </c>
      <c r="AA261">
        <v>10000</v>
      </c>
    </row>
    <row r="262" spans="1:27" x14ac:dyDescent="0.2">
      <c r="A262" t="s">
        <v>56</v>
      </c>
      <c r="B262" t="s">
        <v>57</v>
      </c>
      <c r="C262" t="s">
        <v>26</v>
      </c>
      <c r="D262" t="s">
        <v>27</v>
      </c>
      <c r="E262" t="s">
        <v>42</v>
      </c>
      <c r="F262" t="s">
        <v>43</v>
      </c>
      <c r="G262" t="s">
        <v>44</v>
      </c>
      <c r="H262">
        <v>765</v>
      </c>
      <c r="I262">
        <v>0.355571580032011</v>
      </c>
      <c r="J262">
        <v>0.36501545636959998</v>
      </c>
      <c r="K262">
        <v>-9.4438763375895296E-3</v>
      </c>
      <c r="L262">
        <v>-2.03533589839935E-2</v>
      </c>
      <c r="M262">
        <v>1.8415212631225501E-3</v>
      </c>
      <c r="Q262">
        <v>10000</v>
      </c>
      <c r="R262" t="s">
        <v>37</v>
      </c>
      <c r="S262">
        <v>9.4438763375895296E-3</v>
      </c>
      <c r="T262" t="s">
        <v>56</v>
      </c>
      <c r="U262">
        <v>9.7690230976902298E-2</v>
      </c>
      <c r="V262">
        <v>0.19538046195380401</v>
      </c>
      <c r="W262" t="b">
        <v>0</v>
      </c>
      <c r="X262">
        <v>5</v>
      </c>
      <c r="Y262">
        <v>976</v>
      </c>
      <c r="Z262">
        <v>10000</v>
      </c>
      <c r="AA262">
        <v>10000</v>
      </c>
    </row>
    <row r="263" spans="1:27" x14ac:dyDescent="0.2">
      <c r="A263" t="s">
        <v>56</v>
      </c>
      <c r="B263" t="s">
        <v>57</v>
      </c>
      <c r="C263" t="s">
        <v>26</v>
      </c>
      <c r="D263" t="s">
        <v>27</v>
      </c>
      <c r="E263" t="s">
        <v>42</v>
      </c>
      <c r="F263" t="s">
        <v>43</v>
      </c>
      <c r="G263" t="s">
        <v>45</v>
      </c>
      <c r="H263">
        <v>765</v>
      </c>
      <c r="I263">
        <v>0.23346668149644201</v>
      </c>
      <c r="J263">
        <v>0.249048902243939</v>
      </c>
      <c r="K263">
        <v>-1.55822207474972E-2</v>
      </c>
      <c r="L263">
        <v>-2.8873550146818101E-2</v>
      </c>
      <c r="M263">
        <v>-2.5176391005516099E-3</v>
      </c>
      <c r="Q263">
        <v>10000</v>
      </c>
      <c r="R263" t="s">
        <v>37</v>
      </c>
      <c r="S263">
        <v>1.55822207474972E-2</v>
      </c>
      <c r="T263" t="s">
        <v>56</v>
      </c>
      <c r="U263">
        <v>2.0197980201979798E-2</v>
      </c>
      <c r="V263">
        <v>0.10098990100989901</v>
      </c>
      <c r="W263" t="b">
        <v>0</v>
      </c>
      <c r="X263">
        <v>5</v>
      </c>
      <c r="Y263">
        <v>201</v>
      </c>
      <c r="Z263">
        <v>10000</v>
      </c>
      <c r="AA263">
        <v>10000</v>
      </c>
    </row>
    <row r="264" spans="1:27" x14ac:dyDescent="0.2">
      <c r="A264" t="s">
        <v>56</v>
      </c>
      <c r="B264" t="s">
        <v>57</v>
      </c>
      <c r="C264" t="s">
        <v>26</v>
      </c>
      <c r="D264" t="s">
        <v>27</v>
      </c>
      <c r="E264" t="s">
        <v>42</v>
      </c>
      <c r="F264" t="s">
        <v>43</v>
      </c>
      <c r="G264" t="s">
        <v>46</v>
      </c>
      <c r="H264">
        <v>765</v>
      </c>
      <c r="I264">
        <v>0.66173935711008003</v>
      </c>
      <c r="J264">
        <v>0.68204019863646903</v>
      </c>
      <c r="K264">
        <v>-2.0300841526388301E-2</v>
      </c>
      <c r="L264">
        <v>-5.6151299178600303E-2</v>
      </c>
      <c r="M264">
        <v>1.5736562013625999E-2</v>
      </c>
      <c r="Q264">
        <v>10000</v>
      </c>
      <c r="R264" t="s">
        <v>37</v>
      </c>
      <c r="S264">
        <v>2.0300841526388301E-2</v>
      </c>
      <c r="T264" t="s">
        <v>56</v>
      </c>
      <c r="U264">
        <v>0.28937106289371001</v>
      </c>
      <c r="V264">
        <v>0.28937106289371001</v>
      </c>
      <c r="W264" t="b">
        <v>0</v>
      </c>
      <c r="X264">
        <v>5</v>
      </c>
      <c r="Y264">
        <v>2893</v>
      </c>
      <c r="Z264">
        <v>10000</v>
      </c>
      <c r="AA264">
        <v>10000</v>
      </c>
    </row>
    <row r="265" spans="1:27" x14ac:dyDescent="0.2">
      <c r="A265" t="s">
        <v>56</v>
      </c>
      <c r="B265" t="s">
        <v>57</v>
      </c>
      <c r="C265" t="s">
        <v>26</v>
      </c>
      <c r="D265" t="s">
        <v>27</v>
      </c>
      <c r="E265" t="s">
        <v>42</v>
      </c>
      <c r="F265" t="s">
        <v>43</v>
      </c>
      <c r="G265" t="s">
        <v>47</v>
      </c>
      <c r="H265">
        <v>765</v>
      </c>
      <c r="I265">
        <v>0.755901042254575</v>
      </c>
      <c r="J265">
        <v>0.73736182978942999</v>
      </c>
      <c r="K265">
        <v>1.85392124651442E-2</v>
      </c>
      <c r="L265">
        <v>2.86073982715606E-3</v>
      </c>
      <c r="M265">
        <v>3.4533922374248502E-2</v>
      </c>
      <c r="Q265">
        <v>10000</v>
      </c>
      <c r="R265" t="s">
        <v>31</v>
      </c>
      <c r="S265">
        <v>1.85392124651442E-2</v>
      </c>
      <c r="T265" t="s">
        <v>56</v>
      </c>
      <c r="U265">
        <v>2.2997700229976999E-2</v>
      </c>
      <c r="V265">
        <v>0.10098990100989901</v>
      </c>
      <c r="W265" t="b">
        <v>0</v>
      </c>
      <c r="X265">
        <v>5</v>
      </c>
      <c r="Y265">
        <v>229</v>
      </c>
      <c r="Z265">
        <v>10000</v>
      </c>
      <c r="AA265">
        <v>10000</v>
      </c>
    </row>
    <row r="266" spans="1:27" x14ac:dyDescent="0.2">
      <c r="A266" t="s">
        <v>56</v>
      </c>
      <c r="B266" t="s">
        <v>57</v>
      </c>
      <c r="C266" t="s">
        <v>26</v>
      </c>
      <c r="D266" t="s">
        <v>27</v>
      </c>
      <c r="E266" t="s">
        <v>42</v>
      </c>
      <c r="F266" t="s">
        <v>43</v>
      </c>
      <c r="G266" t="s">
        <v>48</v>
      </c>
      <c r="H266">
        <v>765</v>
      </c>
      <c r="I266">
        <v>0.57124139725519496</v>
      </c>
      <c r="J266">
        <v>0.54262484626584195</v>
      </c>
      <c r="K266">
        <v>2.8616550989353302E-2</v>
      </c>
      <c r="L266">
        <v>4.6490505337715201E-3</v>
      </c>
      <c r="M266">
        <v>5.31046047806739E-2</v>
      </c>
      <c r="Q266">
        <v>10000</v>
      </c>
      <c r="R266" t="s">
        <v>31</v>
      </c>
      <c r="S266">
        <v>2.8616550989353302E-2</v>
      </c>
      <c r="T266" t="s">
        <v>56</v>
      </c>
      <c r="U266">
        <v>2.0197980201979798E-2</v>
      </c>
      <c r="V266">
        <v>0.10098990100989901</v>
      </c>
      <c r="W266" t="b">
        <v>0</v>
      </c>
      <c r="X266">
        <v>5</v>
      </c>
      <c r="Y266">
        <v>201</v>
      </c>
      <c r="Z266">
        <v>10000</v>
      </c>
      <c r="AA266">
        <v>10000</v>
      </c>
    </row>
    <row r="267" spans="1:27" x14ac:dyDescent="0.2">
      <c r="A267" t="s">
        <v>56</v>
      </c>
      <c r="B267" t="s">
        <v>57</v>
      </c>
      <c r="C267" t="s">
        <v>26</v>
      </c>
      <c r="D267" t="s">
        <v>27</v>
      </c>
      <c r="E267" t="s">
        <v>49</v>
      </c>
      <c r="F267" t="s">
        <v>50</v>
      </c>
      <c r="G267" t="s">
        <v>30</v>
      </c>
      <c r="H267">
        <v>765</v>
      </c>
      <c r="I267">
        <v>0.65575729834197904</v>
      </c>
      <c r="J267">
        <v>0.64558539314413499</v>
      </c>
      <c r="K267">
        <v>1.0171905197843599E-2</v>
      </c>
      <c r="L267">
        <v>-3.0795454978942802E-2</v>
      </c>
      <c r="M267">
        <v>5.0401806831359801E-2</v>
      </c>
      <c r="Q267">
        <v>10000</v>
      </c>
      <c r="R267" t="s">
        <v>31</v>
      </c>
      <c r="S267">
        <v>1.0171905197843599E-2</v>
      </c>
      <c r="T267" t="s">
        <v>56</v>
      </c>
      <c r="U267">
        <v>0.61853814618538105</v>
      </c>
      <c r="V267">
        <v>1</v>
      </c>
      <c r="W267" t="b">
        <v>0</v>
      </c>
      <c r="X267">
        <v>8</v>
      </c>
      <c r="Y267">
        <v>6185</v>
      </c>
      <c r="Z267">
        <v>10000</v>
      </c>
      <c r="AA267">
        <v>10000</v>
      </c>
    </row>
    <row r="268" spans="1:27" x14ac:dyDescent="0.2">
      <c r="A268" t="s">
        <v>56</v>
      </c>
      <c r="B268" t="s">
        <v>57</v>
      </c>
      <c r="C268" t="s">
        <v>26</v>
      </c>
      <c r="D268" t="s">
        <v>27</v>
      </c>
      <c r="E268" t="s">
        <v>49</v>
      </c>
      <c r="F268" t="s">
        <v>50</v>
      </c>
      <c r="G268" t="s">
        <v>32</v>
      </c>
      <c r="H268">
        <v>765</v>
      </c>
      <c r="I268">
        <v>0.473322797061282</v>
      </c>
      <c r="J268">
        <v>0.41526303481798499</v>
      </c>
      <c r="K268">
        <v>5.8059762243296197E-2</v>
      </c>
      <c r="L268">
        <v>-3.53836677968501E-2</v>
      </c>
      <c r="M268">
        <v>0.151112537086009</v>
      </c>
      <c r="Q268">
        <v>10000</v>
      </c>
      <c r="R268" t="s">
        <v>31</v>
      </c>
      <c r="S268">
        <v>5.8059762243296197E-2</v>
      </c>
      <c r="T268" t="s">
        <v>56</v>
      </c>
      <c r="U268">
        <v>0.243275672432756</v>
      </c>
      <c r="V268">
        <v>1</v>
      </c>
      <c r="W268" t="b">
        <v>0</v>
      </c>
      <c r="X268">
        <v>8</v>
      </c>
      <c r="Y268">
        <v>2432</v>
      </c>
      <c r="Z268">
        <v>10000</v>
      </c>
      <c r="AA268">
        <v>10000</v>
      </c>
    </row>
    <row r="269" spans="1:27" x14ac:dyDescent="0.2">
      <c r="A269" t="s">
        <v>56</v>
      </c>
      <c r="B269" t="s">
        <v>57</v>
      </c>
      <c r="C269" t="s">
        <v>26</v>
      </c>
      <c r="D269" t="s">
        <v>27</v>
      </c>
      <c r="E269" t="s">
        <v>49</v>
      </c>
      <c r="F269" t="s">
        <v>50</v>
      </c>
      <c r="G269" t="s">
        <v>33</v>
      </c>
      <c r="H269">
        <v>765</v>
      </c>
      <c r="I269">
        <v>0.45901639344262202</v>
      </c>
      <c r="J269">
        <v>0.42519685039369998</v>
      </c>
      <c r="K269">
        <v>3.3819543048921999E-2</v>
      </c>
      <c r="L269">
        <v>-5.84242783486843E-2</v>
      </c>
      <c r="M269">
        <v>0.124168515205383</v>
      </c>
      <c r="Q269">
        <v>10000</v>
      </c>
      <c r="R269" t="s">
        <v>31</v>
      </c>
      <c r="S269">
        <v>3.3819543048921999E-2</v>
      </c>
      <c r="T269" t="s">
        <v>56</v>
      </c>
      <c r="U269">
        <v>0.49855014498550099</v>
      </c>
      <c r="V269">
        <v>1</v>
      </c>
      <c r="W269" t="b">
        <v>0</v>
      </c>
      <c r="X269">
        <v>8</v>
      </c>
      <c r="Y269">
        <v>4985</v>
      </c>
      <c r="Z269">
        <v>10000</v>
      </c>
      <c r="AA269">
        <v>10000</v>
      </c>
    </row>
    <row r="270" spans="1:27" x14ac:dyDescent="0.2">
      <c r="A270" t="s">
        <v>56</v>
      </c>
      <c r="B270" t="s">
        <v>57</v>
      </c>
      <c r="C270" t="s">
        <v>26</v>
      </c>
      <c r="D270" t="s">
        <v>27</v>
      </c>
      <c r="E270" t="s">
        <v>49</v>
      </c>
      <c r="F270" t="s">
        <v>50</v>
      </c>
      <c r="G270" t="s">
        <v>34</v>
      </c>
      <c r="H270">
        <v>765</v>
      </c>
      <c r="I270">
        <v>0.8</v>
      </c>
      <c r="J270">
        <v>0.67500000000000004</v>
      </c>
      <c r="K270">
        <v>0.125</v>
      </c>
      <c r="L270">
        <v>-1.36375740170478E-2</v>
      </c>
      <c r="M270">
        <v>0.26372353285550998</v>
      </c>
      <c r="Q270">
        <v>10000</v>
      </c>
      <c r="R270" t="s">
        <v>31</v>
      </c>
      <c r="S270">
        <v>0.125</v>
      </c>
      <c r="T270" t="s">
        <v>56</v>
      </c>
      <c r="U270">
        <v>0.10078992100789901</v>
      </c>
      <c r="V270">
        <v>0.80631936806319304</v>
      </c>
      <c r="W270" t="b">
        <v>0</v>
      </c>
      <c r="X270">
        <v>8</v>
      </c>
      <c r="Y270">
        <v>1007</v>
      </c>
      <c r="Z270">
        <v>10000</v>
      </c>
      <c r="AA270">
        <v>10000</v>
      </c>
    </row>
    <row r="271" spans="1:27" x14ac:dyDescent="0.2">
      <c r="A271" t="s">
        <v>56</v>
      </c>
      <c r="B271" t="s">
        <v>57</v>
      </c>
      <c r="C271" t="s">
        <v>26</v>
      </c>
      <c r="D271" t="s">
        <v>27</v>
      </c>
      <c r="E271" t="s">
        <v>49</v>
      </c>
      <c r="F271" t="s">
        <v>50</v>
      </c>
      <c r="G271" t="s">
        <v>35</v>
      </c>
      <c r="H271">
        <v>765</v>
      </c>
      <c r="I271">
        <v>0.32183908045977</v>
      </c>
      <c r="J271">
        <v>0.31034482758620602</v>
      </c>
      <c r="K271">
        <v>1.1494252873563199E-2</v>
      </c>
      <c r="L271">
        <v>-6.8965524435043293E-2</v>
      </c>
      <c r="M271">
        <v>9.1954022645950304E-2</v>
      </c>
      <c r="Q271">
        <v>10000</v>
      </c>
      <c r="R271" t="s">
        <v>31</v>
      </c>
      <c r="S271">
        <v>1.1494252873563199E-2</v>
      </c>
      <c r="T271" t="s">
        <v>56</v>
      </c>
      <c r="U271">
        <v>1</v>
      </c>
      <c r="V271">
        <v>1</v>
      </c>
      <c r="W271" t="b">
        <v>0</v>
      </c>
      <c r="X271">
        <v>8</v>
      </c>
      <c r="Y271">
        <v>10000</v>
      </c>
      <c r="Z271">
        <v>10000</v>
      </c>
      <c r="AA271">
        <v>10000</v>
      </c>
    </row>
    <row r="272" spans="1:27" x14ac:dyDescent="0.2">
      <c r="A272" t="s">
        <v>56</v>
      </c>
      <c r="B272" t="s">
        <v>57</v>
      </c>
      <c r="C272" t="s">
        <v>26</v>
      </c>
      <c r="D272" t="s">
        <v>27</v>
      </c>
      <c r="E272" t="s">
        <v>49</v>
      </c>
      <c r="F272" t="s">
        <v>50</v>
      </c>
      <c r="G272" t="s">
        <v>36</v>
      </c>
      <c r="H272">
        <v>765</v>
      </c>
      <c r="I272">
        <v>59</v>
      </c>
      <c r="J272">
        <v>60</v>
      </c>
      <c r="K272">
        <v>-1</v>
      </c>
      <c r="L272">
        <v>-8</v>
      </c>
      <c r="M272">
        <v>6</v>
      </c>
      <c r="Q272">
        <v>10000</v>
      </c>
      <c r="R272" t="s">
        <v>37</v>
      </c>
      <c r="S272">
        <v>1</v>
      </c>
      <c r="T272" t="s">
        <v>56</v>
      </c>
      <c r="U272">
        <v>1</v>
      </c>
      <c r="V272">
        <v>1</v>
      </c>
      <c r="W272" t="b">
        <v>0</v>
      </c>
      <c r="X272">
        <v>8</v>
      </c>
      <c r="Y272">
        <v>10000</v>
      </c>
      <c r="Z272">
        <v>10000</v>
      </c>
      <c r="AA272">
        <v>10000</v>
      </c>
    </row>
    <row r="273" spans="1:27" x14ac:dyDescent="0.2">
      <c r="A273" t="s">
        <v>56</v>
      </c>
      <c r="B273" t="s">
        <v>57</v>
      </c>
      <c r="C273" t="s">
        <v>26</v>
      </c>
      <c r="D273" t="s">
        <v>27</v>
      </c>
      <c r="E273" t="s">
        <v>49</v>
      </c>
      <c r="F273" t="s">
        <v>50</v>
      </c>
      <c r="G273" t="s">
        <v>38</v>
      </c>
      <c r="H273">
        <v>765</v>
      </c>
      <c r="I273">
        <v>0.591867036327963</v>
      </c>
      <c r="J273">
        <v>0.54690161873402099</v>
      </c>
      <c r="K273">
        <v>4.4965417593941903E-2</v>
      </c>
      <c r="L273">
        <v>-1.20355695486068E-2</v>
      </c>
      <c r="M273">
        <v>9.7517275065183595E-2</v>
      </c>
      <c r="Q273">
        <v>10000</v>
      </c>
      <c r="R273" t="s">
        <v>31</v>
      </c>
      <c r="S273">
        <v>4.4965417593941903E-2</v>
      </c>
      <c r="T273" t="s">
        <v>56</v>
      </c>
      <c r="U273">
        <v>0.13128687131286801</v>
      </c>
      <c r="V273">
        <v>0.91900809919007997</v>
      </c>
      <c r="W273" t="b">
        <v>0</v>
      </c>
      <c r="X273">
        <v>8</v>
      </c>
      <c r="Y273">
        <v>1312</v>
      </c>
      <c r="Z273">
        <v>10000</v>
      </c>
      <c r="AA273">
        <v>10000</v>
      </c>
    </row>
    <row r="274" spans="1:27" x14ac:dyDescent="0.2">
      <c r="A274" t="s">
        <v>56</v>
      </c>
      <c r="B274" t="s">
        <v>57</v>
      </c>
      <c r="C274" t="s">
        <v>26</v>
      </c>
      <c r="D274" t="s">
        <v>27</v>
      </c>
      <c r="E274" t="s">
        <v>49</v>
      </c>
      <c r="F274" t="s">
        <v>50</v>
      </c>
      <c r="G274" t="s">
        <v>39</v>
      </c>
      <c r="H274">
        <v>765</v>
      </c>
      <c r="I274">
        <v>0.90048486081443002</v>
      </c>
      <c r="J274">
        <v>0.89039772149323504</v>
      </c>
      <c r="K274">
        <v>1.00871393211948E-2</v>
      </c>
      <c r="L274">
        <v>-2.8650760650634701E-3</v>
      </c>
      <c r="M274">
        <v>2.3141086101531899E-2</v>
      </c>
      <c r="Q274">
        <v>10000</v>
      </c>
      <c r="R274" t="s">
        <v>31</v>
      </c>
      <c r="S274">
        <v>1.00871393211948E-2</v>
      </c>
      <c r="T274" t="s">
        <v>56</v>
      </c>
      <c r="U274">
        <v>0.14008599140085901</v>
      </c>
      <c r="V274">
        <v>0.91900809919007997</v>
      </c>
      <c r="W274" t="b">
        <v>0</v>
      </c>
      <c r="X274">
        <v>8</v>
      </c>
      <c r="Y274">
        <v>1400</v>
      </c>
      <c r="Z274">
        <v>10000</v>
      </c>
      <c r="AA274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paired_two_sided_permutation_ho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Ziadat</dc:creator>
  <cp:lastModifiedBy>Sara Ziadat</cp:lastModifiedBy>
  <dcterms:created xsi:type="dcterms:W3CDTF">2026-08-06T09:33:36Z</dcterms:created>
  <dcterms:modified xsi:type="dcterms:W3CDTF">2026-08-06T09:33:36Z</dcterms:modified>
</cp:coreProperties>
</file>